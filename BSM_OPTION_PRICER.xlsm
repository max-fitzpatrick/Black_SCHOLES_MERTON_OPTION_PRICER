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xFi\Desktop\"/>
    </mc:Choice>
  </mc:AlternateContent>
  <xr:revisionPtr revIDLastSave="0" documentId="13_ncr:1_{D78CAC10-43D1-465D-BBF2-08E48A43D10C}" xr6:coauthVersionLast="28" xr6:coauthVersionMax="28" xr10:uidLastSave="{00000000-0000-0000-0000-000000000000}"/>
  <bookViews>
    <workbookView xWindow="7560" yWindow="0" windowWidth="19260" windowHeight="10493" xr2:uid="{EB034940-44E9-4E91-BB15-DC4463E1EE35}"/>
  </bookViews>
  <sheets>
    <sheet name="PRICER" sheetId="1" r:id="rId1"/>
    <sheet name="CALL_GRAPHS" sheetId="2" r:id="rId2"/>
    <sheet name="PUT_GRAPHS" sheetId="3" r:id="rId3"/>
    <sheet name="CALL_GREEK_GRAPHS" sheetId="4" r:id="rId4"/>
    <sheet name="PUT_GREEK_GRAPHS" sheetId="5" r:id="rId5"/>
  </sheets>
  <functionGroups builtInGroupCount="19"/>
  <definedNames>
    <definedName name="call_delta_graph">CALL_GREEK_GRAPHS!$B$34:$L$48</definedName>
    <definedName name="call_gamma_graph">CALL_GREEK_GRAPHS!$B$50:$L$64</definedName>
    <definedName name="call_graph_selection">CHOOSE(PRICER!$V$1,call_payoff_graph,call_strike_graph,call_vol_graph,call_rate_graph,call_maturity_graph,call_delta_graph,call_gamma_graph,call_theta_graph,call_vega_graph,call_rho_graph)</definedName>
    <definedName name="call_graphs_range">CALL_GRAPHS!$B$34:$L$62</definedName>
    <definedName name="call_maturity_graph">CALL_GRAPHS!$B$99:$L$113</definedName>
    <definedName name="call_payoff_graph">CALL_GRAPHS!$B$35:$L$49</definedName>
    <definedName name="call_rate_graph">CALL_GRAPHS!$B$83:$L$97</definedName>
    <definedName name="call_rho_graph">CALL_GREEK_GRAPHS!$B$98:$L$112</definedName>
    <definedName name="call_strike_graph">CALL_GRAPHS!$B$51:$L$65</definedName>
    <definedName name="call_theta_graph">CALL_GREEK_GRAPHS!$B$66:$L$80</definedName>
    <definedName name="call_vega_graph">CALL_GREEK_GRAPHS!$B$82:$L$96</definedName>
    <definedName name="call_vol_graph">CALL_GRAPHS!$B$67:$L$81</definedName>
    <definedName name="callprice">PRICER!$F$2</definedName>
    <definedName name="Choice">PRICER!$W$1</definedName>
    <definedName name="graph_selection">CHOOSE(Choice,put_graphs_range,call_graphs_range)</definedName>
    <definedName name="maturitydate">PRICER!$C$11</definedName>
    <definedName name="month">PRICER!$C$8</definedName>
    <definedName name="month_list">#REF!</definedName>
    <definedName name="put_delta_graph">PUT_GREEK_GRAPHS!$B$34:$L$48</definedName>
    <definedName name="put_gamma_graph">PUT_GREEK_GRAPHS!$B$50:$L$64</definedName>
    <definedName name="put_graph_selection">CHOOSE(PRICER!$V$1,put_payoff_graph,put_strike_graph,put_vol_graph,put_rate_graph,put_maturity_graph,put_delta_graph,put_gamma_graph,put_theta_graph,put_vega_graph,put_rho_graph)</definedName>
    <definedName name="put_graphs_range">PUT_GRAPHS!$B$34:$L$62</definedName>
    <definedName name="put_maturity_graph">PUT_GRAPHS!$B$98:$L$112</definedName>
    <definedName name="put_payoff_graph">PUT_GRAPHS!$B$34:$L$48</definedName>
    <definedName name="put_rate_graph">PUT_GRAPHS!$B$82:$L$96</definedName>
    <definedName name="put_rho_graph">PUT_GREEK_GRAPHS!$B$98:$L$112</definedName>
    <definedName name="put_strike_graph">PUT_GRAPHS!$B$50:$L$64</definedName>
    <definedName name="put_theta_graph">PUT_GREEK_GRAPHS!$B$66:$L$80</definedName>
    <definedName name="put_vega_graph">PUT_GREEK_GRAPHS!$B$82:$L$96</definedName>
    <definedName name="put_vol_graph">PUT_GRAPHS!$B$66:$L$80</definedName>
    <definedName name="putprice">PRICER!$F$3</definedName>
    <definedName name="q">PRICER!$C$6</definedName>
    <definedName name="rate">PRICER!$C$5</definedName>
    <definedName name="spot">PRICER!$C$2</definedName>
    <definedName name="strike">PRICER!$C$3</definedName>
    <definedName name="time">PRICER!$C$13</definedName>
    <definedName name="vol">PRICER!$C$4</definedName>
    <definedName name="year">PRICER!$C$7</definedName>
    <definedName name="year_list">Tableau1[Year list]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8" i="1"/>
  <c r="C11" i="1" s="1"/>
  <c r="E17" i="3"/>
  <c r="E17" i="2"/>
  <c r="B17" i="5"/>
  <c r="B16" i="5" s="1"/>
  <c r="B15" i="5" s="1"/>
  <c r="B14" i="5" s="1"/>
  <c r="B13" i="5" s="1"/>
  <c r="B12" i="5" s="1"/>
  <c r="B11" i="5" s="1"/>
  <c r="B10" i="5" s="1"/>
  <c r="B9" i="5" s="1"/>
  <c r="B8" i="5" s="1"/>
  <c r="B7" i="5" s="1"/>
  <c r="B6" i="5" s="1"/>
  <c r="B5" i="5" s="1"/>
  <c r="B4" i="5" s="1"/>
  <c r="B3" i="5" s="1"/>
  <c r="B2" i="5" s="1"/>
  <c r="K17" i="2"/>
  <c r="K17" i="5"/>
  <c r="K16" i="5" s="1"/>
  <c r="K15" i="5" s="1"/>
  <c r="K14" i="5" s="1"/>
  <c r="K13" i="5" s="1"/>
  <c r="K12" i="5" s="1"/>
  <c r="K11" i="5" s="1"/>
  <c r="K10" i="5" s="1"/>
  <c r="K9" i="5" s="1"/>
  <c r="K8" i="5" s="1"/>
  <c r="K7" i="5" s="1"/>
  <c r="K6" i="5" s="1"/>
  <c r="K5" i="5" s="1"/>
  <c r="K4" i="5" s="1"/>
  <c r="K3" i="5" s="1"/>
  <c r="K2" i="5" s="1"/>
  <c r="N17" i="5"/>
  <c r="N16" i="5" s="1"/>
  <c r="N15" i="5" s="1"/>
  <c r="N14" i="5" s="1"/>
  <c r="N13" i="5" s="1"/>
  <c r="N12" i="5" s="1"/>
  <c r="N11" i="5" s="1"/>
  <c r="N10" i="5" s="1"/>
  <c r="N9" i="5" s="1"/>
  <c r="N8" i="5" s="1"/>
  <c r="N7" i="5" s="1"/>
  <c r="N6" i="5" s="1"/>
  <c r="N5" i="5" s="1"/>
  <c r="N4" i="5" s="1"/>
  <c r="N3" i="5" s="1"/>
  <c r="N2" i="5" s="1"/>
  <c r="H17" i="5"/>
  <c r="H16" i="5" s="1"/>
  <c r="H15" i="5" s="1"/>
  <c r="H14" i="5" s="1"/>
  <c r="H13" i="5" s="1"/>
  <c r="H12" i="5" s="1"/>
  <c r="H11" i="5" s="1"/>
  <c r="H10" i="5" s="1"/>
  <c r="H9" i="5" s="1"/>
  <c r="H8" i="5" s="1"/>
  <c r="H7" i="5" s="1"/>
  <c r="H6" i="5" s="1"/>
  <c r="H5" i="5" s="1"/>
  <c r="H4" i="5" s="1"/>
  <c r="H3" i="5" s="1"/>
  <c r="H2" i="5" s="1"/>
  <c r="E17" i="5"/>
  <c r="E16" i="5" s="1"/>
  <c r="E15" i="5" s="1"/>
  <c r="E14" i="5" s="1"/>
  <c r="E13" i="5" s="1"/>
  <c r="E12" i="5" s="1"/>
  <c r="E11" i="5" s="1"/>
  <c r="E10" i="5" s="1"/>
  <c r="E9" i="5" s="1"/>
  <c r="E8" i="5" s="1"/>
  <c r="E7" i="5" s="1"/>
  <c r="E6" i="5" s="1"/>
  <c r="E5" i="5" s="1"/>
  <c r="E4" i="5" s="1"/>
  <c r="E3" i="5" s="1"/>
  <c r="E2" i="5" s="1"/>
  <c r="N17" i="4"/>
  <c r="N16" i="4" s="1"/>
  <c r="N15" i="4" s="1"/>
  <c r="N14" i="4" s="1"/>
  <c r="N13" i="4" s="1"/>
  <c r="N12" i="4" s="1"/>
  <c r="N11" i="4" s="1"/>
  <c r="N10" i="4" s="1"/>
  <c r="N9" i="4" s="1"/>
  <c r="N8" i="4" s="1"/>
  <c r="N7" i="4" s="1"/>
  <c r="N6" i="4" s="1"/>
  <c r="N5" i="4" s="1"/>
  <c r="N4" i="4" s="1"/>
  <c r="N3" i="4" s="1"/>
  <c r="N2" i="4" s="1"/>
  <c r="K17" i="4"/>
  <c r="K16" i="4" s="1"/>
  <c r="K15" i="4" s="1"/>
  <c r="K14" i="4" s="1"/>
  <c r="K13" i="4" s="1"/>
  <c r="K12" i="4" s="1"/>
  <c r="K11" i="4" s="1"/>
  <c r="K10" i="4" s="1"/>
  <c r="K9" i="4" s="1"/>
  <c r="K8" i="4" s="1"/>
  <c r="K7" i="4" s="1"/>
  <c r="K6" i="4" s="1"/>
  <c r="K5" i="4" s="1"/>
  <c r="K4" i="4" s="1"/>
  <c r="K3" i="4" s="1"/>
  <c r="K2" i="4" s="1"/>
  <c r="H17" i="4"/>
  <c r="H16" i="4" s="1"/>
  <c r="H15" i="4" s="1"/>
  <c r="H14" i="4" s="1"/>
  <c r="H13" i="4" s="1"/>
  <c r="H12" i="4" s="1"/>
  <c r="H11" i="4" s="1"/>
  <c r="H10" i="4" s="1"/>
  <c r="H9" i="4" s="1"/>
  <c r="H8" i="4" s="1"/>
  <c r="H7" i="4" s="1"/>
  <c r="H6" i="4" s="1"/>
  <c r="H5" i="4" s="1"/>
  <c r="H4" i="4" s="1"/>
  <c r="H3" i="4" s="1"/>
  <c r="H2" i="4" s="1"/>
  <c r="E17" i="4"/>
  <c r="E16" i="4" s="1"/>
  <c r="E15" i="4" s="1"/>
  <c r="E14" i="4" s="1"/>
  <c r="E13" i="4" s="1"/>
  <c r="E12" i="4" s="1"/>
  <c r="E11" i="4" s="1"/>
  <c r="E10" i="4" s="1"/>
  <c r="E9" i="4" s="1"/>
  <c r="E8" i="4" s="1"/>
  <c r="E7" i="4" s="1"/>
  <c r="E6" i="4" s="1"/>
  <c r="E5" i="4" s="1"/>
  <c r="E4" i="4" s="1"/>
  <c r="E3" i="4" s="1"/>
  <c r="E2" i="4" s="1"/>
  <c r="B17" i="4"/>
  <c r="B16" i="4" s="1"/>
  <c r="B15" i="4" s="1"/>
  <c r="B14" i="4" s="1"/>
  <c r="B13" i="4" s="1"/>
  <c r="B12" i="4" s="1"/>
  <c r="B11" i="4" s="1"/>
  <c r="B10" i="4" s="1"/>
  <c r="B9" i="4" s="1"/>
  <c r="B8" i="4" s="1"/>
  <c r="B7" i="4" s="1"/>
  <c r="B6" i="4" s="1"/>
  <c r="B5" i="4" s="1"/>
  <c r="B4" i="4" s="1"/>
  <c r="B3" i="4" s="1"/>
  <c r="B2" i="4" s="1"/>
  <c r="B17" i="3"/>
  <c r="B18" i="3" s="1"/>
  <c r="B17" i="2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K18" i="5" l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N18" i="5"/>
  <c r="N19" i="5" s="1"/>
  <c r="N20" i="5" s="1"/>
  <c r="N21" i="5" s="1"/>
  <c r="N22" i="5" s="1"/>
  <c r="N23" i="5" s="1"/>
  <c r="N24" i="5" s="1"/>
  <c r="N25" i="5" s="1"/>
  <c r="N26" i="5" s="1"/>
  <c r="N27" i="5" s="1"/>
  <c r="N28" i="5" s="1"/>
  <c r="N29" i="5" s="1"/>
  <c r="N30" i="5" s="1"/>
  <c r="N31" i="5" s="1"/>
  <c r="N32" i="5" s="1"/>
  <c r="H18" i="5"/>
  <c r="H19" i="5" s="1"/>
  <c r="H20" i="5" s="1"/>
  <c r="H21" i="5" s="1"/>
  <c r="H22" i="5" s="1"/>
  <c r="H23" i="5" s="1"/>
  <c r="H24" i="5" s="1"/>
  <c r="H25" i="5" s="1"/>
  <c r="H26" i="5" s="1"/>
  <c r="H27" i="5" s="1"/>
  <c r="H28" i="5" s="1"/>
  <c r="H29" i="5" s="1"/>
  <c r="H30" i="5" s="1"/>
  <c r="H31" i="5" s="1"/>
  <c r="H32" i="5" s="1"/>
  <c r="E18" i="5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B18" i="5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K18" i="4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H18" i="4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E18" i="4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B18" i="4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19" i="3"/>
  <c r="B16" i="3"/>
  <c r="B16" i="2"/>
  <c r="B15" i="3" l="1"/>
  <c r="B20" i="3"/>
  <c r="B15" i="2"/>
  <c r="O2" i="3"/>
  <c r="Q2" i="3" s="1"/>
  <c r="N2" i="3" s="1"/>
  <c r="C12" i="1"/>
  <c r="K17" i="3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H17" i="3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17" i="2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H5" i="2" s="1"/>
  <c r="H4" i="2" s="1"/>
  <c r="H3" i="2" s="1"/>
  <c r="H2" i="2" s="1"/>
  <c r="O25" i="3"/>
  <c r="Q25" i="3" s="1"/>
  <c r="N25" i="3" s="1"/>
  <c r="O24" i="3"/>
  <c r="Q24" i="3" s="1"/>
  <c r="N24" i="3" s="1"/>
  <c r="O23" i="3"/>
  <c r="Q23" i="3" s="1"/>
  <c r="N23" i="3" s="1"/>
  <c r="O22" i="3"/>
  <c r="Q22" i="3" s="1"/>
  <c r="N22" i="3" s="1"/>
  <c r="O21" i="3"/>
  <c r="Q21" i="3" s="1"/>
  <c r="N21" i="3" s="1"/>
  <c r="O20" i="3"/>
  <c r="Q20" i="3" s="1"/>
  <c r="N20" i="3" s="1"/>
  <c r="O19" i="3"/>
  <c r="Q19" i="3" s="1"/>
  <c r="N19" i="3" s="1"/>
  <c r="O18" i="3"/>
  <c r="Q18" i="3" s="1"/>
  <c r="N18" i="3" s="1"/>
  <c r="O17" i="3"/>
  <c r="Q17" i="3" s="1"/>
  <c r="N17" i="3" s="1"/>
  <c r="E18" i="3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O16" i="3"/>
  <c r="Q16" i="3" s="1"/>
  <c r="N16" i="3" s="1"/>
  <c r="O15" i="3"/>
  <c r="Q15" i="3" s="1"/>
  <c r="N15" i="3" s="1"/>
  <c r="O14" i="3"/>
  <c r="Q14" i="3" s="1"/>
  <c r="N14" i="3" s="1"/>
  <c r="O13" i="3"/>
  <c r="Q13" i="3" s="1"/>
  <c r="N13" i="3" s="1"/>
  <c r="O12" i="3"/>
  <c r="Q12" i="3" s="1"/>
  <c r="N12" i="3" s="1"/>
  <c r="O11" i="3"/>
  <c r="Q11" i="3" s="1"/>
  <c r="N11" i="3" s="1"/>
  <c r="O10" i="3"/>
  <c r="Q10" i="3" s="1"/>
  <c r="N10" i="3" s="1"/>
  <c r="O9" i="3"/>
  <c r="Q9" i="3" s="1"/>
  <c r="N9" i="3" s="1"/>
  <c r="O8" i="3"/>
  <c r="Q8" i="3" s="1"/>
  <c r="N8" i="3" s="1"/>
  <c r="O7" i="3"/>
  <c r="Q7" i="3" s="1"/>
  <c r="N7" i="3" s="1"/>
  <c r="O6" i="3"/>
  <c r="Q6" i="3" s="1"/>
  <c r="N6" i="3" s="1"/>
  <c r="O5" i="3"/>
  <c r="Q5" i="3" s="1"/>
  <c r="N5" i="3" s="1"/>
  <c r="O4" i="3"/>
  <c r="Q4" i="3" s="1"/>
  <c r="N4" i="3" s="1"/>
  <c r="O3" i="3"/>
  <c r="Q3" i="3" s="1"/>
  <c r="N3" i="3" s="1"/>
  <c r="O15" i="2"/>
  <c r="Q15" i="2" s="1"/>
  <c r="N15" i="2" s="1"/>
  <c r="O16" i="2"/>
  <c r="Q16" i="2" s="1"/>
  <c r="N16" i="2" s="1"/>
  <c r="O17" i="2"/>
  <c r="Q17" i="2" s="1"/>
  <c r="N17" i="2" s="1"/>
  <c r="O18" i="2"/>
  <c r="Q18" i="2" s="1"/>
  <c r="N18" i="2" s="1"/>
  <c r="O19" i="2"/>
  <c r="Q19" i="2" s="1"/>
  <c r="N19" i="2" s="1"/>
  <c r="O20" i="2"/>
  <c r="Q20" i="2" s="1"/>
  <c r="N20" i="2" s="1"/>
  <c r="O21" i="2"/>
  <c r="Q21" i="2" s="1"/>
  <c r="N21" i="2" s="1"/>
  <c r="O22" i="2"/>
  <c r="Q22" i="2" s="1"/>
  <c r="N22" i="2" s="1"/>
  <c r="O23" i="2"/>
  <c r="Q23" i="2" s="1"/>
  <c r="N23" i="2" s="1"/>
  <c r="O24" i="2"/>
  <c r="Q24" i="2" s="1"/>
  <c r="N24" i="2" s="1"/>
  <c r="O25" i="2"/>
  <c r="Q25" i="2" s="1"/>
  <c r="N25" i="2" s="1"/>
  <c r="O14" i="2"/>
  <c r="Q14" i="2" s="1"/>
  <c r="N14" i="2" s="1"/>
  <c r="O13" i="2"/>
  <c r="Q13" i="2" s="1"/>
  <c r="N13" i="2" s="1"/>
  <c r="O3" i="2"/>
  <c r="Q3" i="2" s="1"/>
  <c r="N3" i="2" s="1"/>
  <c r="O4" i="2"/>
  <c r="Q4" i="2" s="1"/>
  <c r="N4" i="2" s="1"/>
  <c r="O5" i="2"/>
  <c r="Q5" i="2" s="1"/>
  <c r="N5" i="2" s="1"/>
  <c r="O6" i="2"/>
  <c r="Q6" i="2" s="1"/>
  <c r="N6" i="2" s="1"/>
  <c r="O7" i="2"/>
  <c r="Q7" i="2" s="1"/>
  <c r="N7" i="2" s="1"/>
  <c r="O8" i="2"/>
  <c r="Q8" i="2" s="1"/>
  <c r="N8" i="2" s="1"/>
  <c r="O9" i="2"/>
  <c r="Q9" i="2" s="1"/>
  <c r="N9" i="2" s="1"/>
  <c r="O10" i="2"/>
  <c r="Q10" i="2" s="1"/>
  <c r="N10" i="2" s="1"/>
  <c r="O11" i="2"/>
  <c r="Q11" i="2" s="1"/>
  <c r="N11" i="2" s="1"/>
  <c r="O12" i="2"/>
  <c r="Q12" i="2" s="1"/>
  <c r="N12" i="2" s="1"/>
  <c r="O2" i="2"/>
  <c r="Q2" i="2" s="1"/>
  <c r="N2" i="2" s="1"/>
  <c r="K16" i="2"/>
  <c r="K15" i="2" s="1"/>
  <c r="K14" i="2" s="1"/>
  <c r="K13" i="2" s="1"/>
  <c r="K12" i="2" s="1"/>
  <c r="K11" i="2" s="1"/>
  <c r="K10" i="2" s="1"/>
  <c r="K9" i="2" s="1"/>
  <c r="K8" i="2" s="1"/>
  <c r="K7" i="2" s="1"/>
  <c r="K6" i="2" s="1"/>
  <c r="K5" i="2" s="1"/>
  <c r="K4" i="2" s="1"/>
  <c r="K3" i="2" s="1"/>
  <c r="K2" i="2" s="1"/>
  <c r="E18" i="2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M15" i="2"/>
  <c r="M19" i="2"/>
  <c r="M16" i="3"/>
  <c r="M12" i="3"/>
  <c r="M8" i="3"/>
  <c r="M9" i="2"/>
  <c r="M22" i="2"/>
  <c r="M21" i="2"/>
  <c r="M23" i="2"/>
  <c r="M8" i="2"/>
  <c r="M4" i="3"/>
  <c r="M3" i="3"/>
  <c r="M2" i="3"/>
  <c r="M17" i="2"/>
  <c r="M3" i="2"/>
  <c r="M21" i="3"/>
  <c r="M9" i="3"/>
  <c r="M5" i="2"/>
  <c r="M19" i="3"/>
  <c r="M13" i="3"/>
  <c r="M18" i="2"/>
  <c r="M10" i="2"/>
  <c r="M7" i="3"/>
  <c r="M5" i="3"/>
  <c r="M25" i="3"/>
  <c r="M6" i="2"/>
  <c r="M17" i="3"/>
  <c r="M20" i="2"/>
  <c r="M16" i="2"/>
  <c r="M12" i="2"/>
  <c r="M22" i="3"/>
  <c r="M7" i="2"/>
  <c r="M4" i="2"/>
  <c r="M14" i="2"/>
  <c r="M24" i="3"/>
  <c r="M11" i="3"/>
  <c r="M23" i="3"/>
  <c r="M10" i="3"/>
  <c r="M18" i="3"/>
  <c r="M6" i="3"/>
  <c r="M11" i="2"/>
  <c r="M25" i="2"/>
  <c r="M15" i="3"/>
  <c r="M24" i="2"/>
  <c r="M13" i="2"/>
  <c r="M2" i="2"/>
  <c r="M14" i="3"/>
  <c r="M20" i="3"/>
  <c r="B21" i="3" l="1"/>
  <c r="B14" i="3"/>
  <c r="B14" i="2"/>
  <c r="K16" i="3"/>
  <c r="K15" i="3" s="1"/>
  <c r="K14" i="3" s="1"/>
  <c r="K13" i="3" s="1"/>
  <c r="K12" i="3" s="1"/>
  <c r="K11" i="3" s="1"/>
  <c r="K10" i="3" s="1"/>
  <c r="K9" i="3" s="1"/>
  <c r="K8" i="3" s="1"/>
  <c r="K7" i="3" s="1"/>
  <c r="K6" i="3" s="1"/>
  <c r="K5" i="3" s="1"/>
  <c r="K4" i="3" s="1"/>
  <c r="K3" i="3" s="1"/>
  <c r="K2" i="3" s="1"/>
  <c r="K18" i="2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E16" i="3"/>
  <c r="E15" i="3" s="1"/>
  <c r="E14" i="3" s="1"/>
  <c r="E13" i="3" s="1"/>
  <c r="E12" i="3" s="1"/>
  <c r="E11" i="3" s="1"/>
  <c r="E10" i="3" s="1"/>
  <c r="E9" i="3" s="1"/>
  <c r="E8" i="3" s="1"/>
  <c r="E7" i="3" s="1"/>
  <c r="E6" i="3" s="1"/>
  <c r="E5" i="3" s="1"/>
  <c r="E4" i="3" s="1"/>
  <c r="E3" i="3" s="1"/>
  <c r="E2" i="3" s="1"/>
  <c r="H18" i="2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16" i="3"/>
  <c r="E16" i="2"/>
  <c r="B13" i="3" l="1"/>
  <c r="B22" i="3"/>
  <c r="B13" i="2"/>
  <c r="H15" i="3"/>
  <c r="E15" i="2"/>
  <c r="C13" i="1"/>
  <c r="M26" i="5"/>
  <c r="M18" i="5"/>
  <c r="M10" i="5"/>
  <c r="M25" i="5"/>
  <c r="M17" i="5"/>
  <c r="M5" i="5"/>
  <c r="M32" i="5"/>
  <c r="M28" i="5"/>
  <c r="M24" i="5"/>
  <c r="M20" i="5"/>
  <c r="M16" i="5"/>
  <c r="M12" i="5"/>
  <c r="M8" i="5"/>
  <c r="M4" i="5"/>
  <c r="M30" i="5"/>
  <c r="M22" i="5"/>
  <c r="M14" i="5"/>
  <c r="M6" i="5"/>
  <c r="M29" i="5"/>
  <c r="M21" i="5"/>
  <c r="M13" i="5"/>
  <c r="M9" i="5"/>
  <c r="M31" i="5"/>
  <c r="M27" i="5"/>
  <c r="M23" i="5"/>
  <c r="M19" i="5"/>
  <c r="M15" i="5"/>
  <c r="M11" i="5"/>
  <c r="M7" i="5"/>
  <c r="M3" i="5"/>
  <c r="M2" i="5"/>
  <c r="J30" i="5"/>
  <c r="J26" i="5"/>
  <c r="J22" i="5"/>
  <c r="J18" i="5"/>
  <c r="J14" i="5"/>
  <c r="J10" i="5"/>
  <c r="J6" i="5"/>
  <c r="J29" i="5"/>
  <c r="J25" i="5"/>
  <c r="J21" i="5"/>
  <c r="J17" i="5"/>
  <c r="J13" i="5"/>
  <c r="J9" i="5"/>
  <c r="J5" i="5"/>
  <c r="J32" i="5"/>
  <c r="J28" i="5"/>
  <c r="J24" i="5"/>
  <c r="J20" i="5"/>
  <c r="J16" i="5"/>
  <c r="J12" i="5"/>
  <c r="J8" i="5"/>
  <c r="J4" i="5"/>
  <c r="J31" i="5"/>
  <c r="J27" i="5"/>
  <c r="J23" i="5"/>
  <c r="J19" i="5"/>
  <c r="J15" i="5"/>
  <c r="J11" i="5"/>
  <c r="J7" i="5"/>
  <c r="J3" i="5"/>
  <c r="J2" i="5"/>
  <c r="G18" i="5"/>
  <c r="G6" i="5"/>
  <c r="G29" i="5"/>
  <c r="G25" i="5"/>
  <c r="G21" i="5"/>
  <c r="G17" i="5"/>
  <c r="G13" i="5"/>
  <c r="G9" i="5"/>
  <c r="G5" i="5"/>
  <c r="G30" i="5"/>
  <c r="G22" i="5"/>
  <c r="G10" i="5"/>
  <c r="G32" i="5"/>
  <c r="G28" i="5"/>
  <c r="G24" i="5"/>
  <c r="G20" i="5"/>
  <c r="G16" i="5"/>
  <c r="G12" i="5"/>
  <c r="G8" i="5"/>
  <c r="G4" i="5"/>
  <c r="G26" i="5"/>
  <c r="G14" i="5"/>
  <c r="G31" i="5"/>
  <c r="G27" i="5"/>
  <c r="G23" i="5"/>
  <c r="G19" i="5"/>
  <c r="G15" i="5"/>
  <c r="G11" i="5"/>
  <c r="G7" i="5"/>
  <c r="G3" i="5"/>
  <c r="G2" i="5"/>
  <c r="D26" i="5"/>
  <c r="D14" i="5"/>
  <c r="D6" i="5"/>
  <c r="D25" i="5"/>
  <c r="D17" i="5"/>
  <c r="D9" i="5"/>
  <c r="D32" i="5"/>
  <c r="D28" i="5"/>
  <c r="D24" i="5"/>
  <c r="D20" i="5"/>
  <c r="D16" i="5"/>
  <c r="D12" i="5"/>
  <c r="D8" i="5"/>
  <c r="D4" i="5"/>
  <c r="D30" i="5"/>
  <c r="D22" i="5"/>
  <c r="D18" i="5"/>
  <c r="D10" i="5"/>
  <c r="D29" i="5"/>
  <c r="D21" i="5"/>
  <c r="D13" i="5"/>
  <c r="D5" i="5"/>
  <c r="D31" i="5"/>
  <c r="D27" i="5"/>
  <c r="D23" i="5"/>
  <c r="D19" i="5"/>
  <c r="D15" i="5"/>
  <c r="D11" i="5"/>
  <c r="D7" i="5"/>
  <c r="D3" i="5"/>
  <c r="D2" i="5"/>
  <c r="A30" i="5"/>
  <c r="A26" i="5"/>
  <c r="A22" i="5"/>
  <c r="A18" i="5"/>
  <c r="A14" i="5"/>
  <c r="A10" i="5"/>
  <c r="A6" i="5"/>
  <c r="A29" i="5"/>
  <c r="A25" i="5"/>
  <c r="A21" i="5"/>
  <c r="A17" i="5"/>
  <c r="A13" i="5"/>
  <c r="A9" i="5"/>
  <c r="A5" i="5"/>
  <c r="A32" i="5"/>
  <c r="A28" i="5"/>
  <c r="A24" i="5"/>
  <c r="A20" i="5"/>
  <c r="A16" i="5"/>
  <c r="A12" i="5"/>
  <c r="A8" i="5"/>
  <c r="A4" i="5"/>
  <c r="A31" i="5"/>
  <c r="A27" i="5"/>
  <c r="A23" i="5"/>
  <c r="A19" i="5"/>
  <c r="A15" i="5"/>
  <c r="A11" i="5"/>
  <c r="A7" i="5"/>
  <c r="A3" i="5"/>
  <c r="A2" i="5"/>
  <c r="M30" i="4"/>
  <c r="M18" i="4"/>
  <c r="M6" i="4"/>
  <c r="M29" i="4"/>
  <c r="M25" i="4"/>
  <c r="M21" i="4"/>
  <c r="M17" i="4"/>
  <c r="M13" i="4"/>
  <c r="M9" i="4"/>
  <c r="M5" i="4"/>
  <c r="M26" i="4"/>
  <c r="M10" i="4"/>
  <c r="M32" i="4"/>
  <c r="M28" i="4"/>
  <c r="M24" i="4"/>
  <c r="M20" i="4"/>
  <c r="M16" i="4"/>
  <c r="M12" i="4"/>
  <c r="M8" i="4"/>
  <c r="M4" i="4"/>
  <c r="M22" i="4"/>
  <c r="M14" i="4"/>
  <c r="M31" i="4"/>
  <c r="M27" i="4"/>
  <c r="M23" i="4"/>
  <c r="M19" i="4"/>
  <c r="M15" i="4"/>
  <c r="M11" i="4"/>
  <c r="M7" i="4"/>
  <c r="M3" i="4"/>
  <c r="M2" i="4"/>
  <c r="J30" i="4"/>
  <c r="J18" i="4"/>
  <c r="J6" i="4"/>
  <c r="J29" i="4"/>
  <c r="J25" i="4"/>
  <c r="J21" i="4"/>
  <c r="J17" i="4"/>
  <c r="J13" i="4"/>
  <c r="J9" i="4"/>
  <c r="J5" i="4"/>
  <c r="J26" i="4"/>
  <c r="J10" i="4"/>
  <c r="J32" i="4"/>
  <c r="J28" i="4"/>
  <c r="J24" i="4"/>
  <c r="J20" i="4"/>
  <c r="J16" i="4"/>
  <c r="J12" i="4"/>
  <c r="J8" i="4"/>
  <c r="J4" i="4"/>
  <c r="J22" i="4"/>
  <c r="J14" i="4"/>
  <c r="J31" i="4"/>
  <c r="J27" i="4"/>
  <c r="J23" i="4"/>
  <c r="J19" i="4"/>
  <c r="J15" i="4"/>
  <c r="J11" i="4"/>
  <c r="J7" i="4"/>
  <c r="J3" i="4"/>
  <c r="J2" i="4"/>
  <c r="G18" i="4"/>
  <c r="G6" i="4"/>
  <c r="G29" i="4"/>
  <c r="G25" i="4"/>
  <c r="G21" i="4"/>
  <c r="G17" i="4"/>
  <c r="G13" i="4"/>
  <c r="G9" i="4"/>
  <c r="G5" i="4"/>
  <c r="G26" i="4"/>
  <c r="G14" i="4"/>
  <c r="G32" i="4"/>
  <c r="G28" i="4"/>
  <c r="G24" i="4"/>
  <c r="G20" i="4"/>
  <c r="G16" i="4"/>
  <c r="G12" i="4"/>
  <c r="G8" i="4"/>
  <c r="G4" i="4"/>
  <c r="G30" i="4"/>
  <c r="G22" i="4"/>
  <c r="G10" i="4"/>
  <c r="G31" i="4"/>
  <c r="G27" i="4"/>
  <c r="G23" i="4"/>
  <c r="G19" i="4"/>
  <c r="G15" i="4"/>
  <c r="G11" i="4"/>
  <c r="G7" i="4"/>
  <c r="G3" i="4"/>
  <c r="G2" i="4"/>
  <c r="D30" i="4"/>
  <c r="D26" i="4"/>
  <c r="D22" i="4"/>
  <c r="D18" i="4"/>
  <c r="D14" i="4"/>
  <c r="D10" i="4"/>
  <c r="D6" i="4"/>
  <c r="D29" i="4"/>
  <c r="D25" i="4"/>
  <c r="D21" i="4"/>
  <c r="D17" i="4"/>
  <c r="D13" i="4"/>
  <c r="D9" i="4"/>
  <c r="D5" i="4"/>
  <c r="D32" i="4"/>
  <c r="D28" i="4"/>
  <c r="D24" i="4"/>
  <c r="D20" i="4"/>
  <c r="D16" i="4"/>
  <c r="D12" i="4"/>
  <c r="D8" i="4"/>
  <c r="D4" i="4"/>
  <c r="D31" i="4"/>
  <c r="D27" i="4"/>
  <c r="D23" i="4"/>
  <c r="D19" i="4"/>
  <c r="D15" i="4"/>
  <c r="D11" i="4"/>
  <c r="D7" i="4"/>
  <c r="D3" i="4"/>
  <c r="D2" i="4"/>
  <c r="A32" i="4"/>
  <c r="A31" i="4"/>
  <c r="A23" i="4"/>
  <c r="A30" i="4"/>
  <c r="A26" i="4"/>
  <c r="A22" i="4"/>
  <c r="A18" i="4"/>
  <c r="A14" i="4"/>
  <c r="A10" i="4"/>
  <c r="A6" i="4"/>
  <c r="A29" i="4"/>
  <c r="A25" i="4"/>
  <c r="A21" i="4"/>
  <c r="A17" i="4"/>
  <c r="A13" i="4"/>
  <c r="A9" i="4"/>
  <c r="A5" i="4"/>
  <c r="A28" i="4"/>
  <c r="A24" i="4"/>
  <c r="A20" i="4"/>
  <c r="A16" i="4"/>
  <c r="A12" i="4"/>
  <c r="A8" i="4"/>
  <c r="A4" i="4"/>
  <c r="A27" i="4"/>
  <c r="A19" i="4"/>
  <c r="A15" i="4"/>
  <c r="A11" i="4"/>
  <c r="A7" i="4"/>
  <c r="A3" i="4"/>
  <c r="A2" i="4"/>
  <c r="B12" i="3" l="1"/>
  <c r="B23" i="3"/>
  <c r="B12" i="2"/>
  <c r="H14" i="3"/>
  <c r="E14" i="2"/>
  <c r="D16" i="2"/>
  <c r="J15" i="3"/>
  <c r="J7" i="3"/>
  <c r="G30" i="3"/>
  <c r="J2" i="2"/>
  <c r="J23" i="2"/>
  <c r="J12" i="2"/>
  <c r="J2" i="3"/>
  <c r="G15" i="3"/>
  <c r="G26" i="3"/>
  <c r="G29" i="2"/>
  <c r="K3" i="1"/>
  <c r="G32" i="3"/>
  <c r="D25" i="3"/>
  <c r="G18" i="2"/>
  <c r="D32" i="2"/>
  <c r="D15" i="3"/>
  <c r="G22" i="2"/>
  <c r="G17" i="3"/>
  <c r="G28" i="3"/>
  <c r="D32" i="3"/>
  <c r="G15" i="2"/>
  <c r="G16" i="2"/>
  <c r="G21" i="3"/>
  <c r="D16" i="3"/>
  <c r="G11" i="2"/>
  <c r="G20" i="2"/>
  <c r="G31" i="3"/>
  <c r="G6" i="2"/>
  <c r="J4" i="2"/>
  <c r="G23" i="3"/>
  <c r="G25" i="3"/>
  <c r="D26" i="3"/>
  <c r="G31" i="2"/>
  <c r="G23" i="2"/>
  <c r="G4" i="2"/>
  <c r="G29" i="3"/>
  <c r="J10" i="2"/>
  <c r="D25" i="2"/>
  <c r="D14" i="2"/>
  <c r="D29" i="3"/>
  <c r="G17" i="2"/>
  <c r="J24" i="3"/>
  <c r="D3" i="3"/>
  <c r="G25" i="2"/>
  <c r="D8" i="3"/>
  <c r="G20" i="3"/>
  <c r="J16" i="3"/>
  <c r="J11" i="3"/>
  <c r="J26" i="3"/>
  <c r="J23" i="3"/>
  <c r="I2" i="1"/>
  <c r="J28" i="2"/>
  <c r="D27" i="2"/>
  <c r="D11" i="3"/>
  <c r="D18" i="2"/>
  <c r="D21" i="3"/>
  <c r="D21" i="2"/>
  <c r="D28" i="2"/>
  <c r="D20" i="2"/>
  <c r="G2" i="2"/>
  <c r="D2" i="3"/>
  <c r="L2" i="1"/>
  <c r="D24" i="2"/>
  <c r="J21" i="2"/>
  <c r="G5" i="2"/>
  <c r="L3" i="1"/>
  <c r="J4" i="3"/>
  <c r="J18" i="2"/>
  <c r="J19" i="2"/>
  <c r="J3" i="2"/>
  <c r="J24" i="2"/>
  <c r="J15" i="2"/>
  <c r="D31" i="2"/>
  <c r="J20" i="2"/>
  <c r="D23" i="3"/>
  <c r="J10" i="3"/>
  <c r="D17" i="2"/>
  <c r="G27" i="3"/>
  <c r="G8" i="2"/>
  <c r="J13" i="2"/>
  <c r="D13" i="3"/>
  <c r="I3" i="1"/>
  <c r="G32" i="2"/>
  <c r="J5" i="2"/>
  <c r="G19" i="2"/>
  <c r="J7" i="2"/>
  <c r="J22" i="3"/>
  <c r="D28" i="3"/>
  <c r="D20" i="3"/>
  <c r="J14" i="2"/>
  <c r="D23" i="2"/>
  <c r="D15" i="2"/>
  <c r="J29" i="2"/>
  <c r="J32" i="3"/>
  <c r="D31" i="3"/>
  <c r="J22" i="2"/>
  <c r="D27" i="3"/>
  <c r="D12" i="3"/>
  <c r="D26" i="2"/>
  <c r="G26" i="2"/>
  <c r="D14" i="3"/>
  <c r="J25" i="3"/>
  <c r="J17" i="3"/>
  <c r="D19" i="3"/>
  <c r="J27" i="2"/>
  <c r="J11" i="2"/>
  <c r="G14" i="2"/>
  <c r="J14" i="3"/>
  <c r="D19" i="2"/>
  <c r="J6" i="2"/>
  <c r="G14" i="3"/>
  <c r="J8" i="2"/>
  <c r="G22" i="3"/>
  <c r="J3" i="1"/>
  <c r="J12" i="3"/>
  <c r="G24" i="3"/>
  <c r="J17" i="2"/>
  <c r="J9" i="2"/>
  <c r="G30" i="2"/>
  <c r="J30" i="3"/>
  <c r="G16" i="3"/>
  <c r="J18" i="3"/>
  <c r="G7" i="2"/>
  <c r="G21" i="2"/>
  <c r="D17" i="3"/>
  <c r="J25" i="2"/>
  <c r="G12" i="2"/>
  <c r="D4" i="3"/>
  <c r="D22" i="3"/>
  <c r="D18" i="3"/>
  <c r="G10" i="2"/>
  <c r="J21" i="3"/>
  <c r="G28" i="2"/>
  <c r="J13" i="3"/>
  <c r="D7" i="3"/>
  <c r="D9" i="3"/>
  <c r="J3" i="3"/>
  <c r="H2" i="1"/>
  <c r="F3" i="1"/>
  <c r="D22" i="2"/>
  <c r="D29" i="2"/>
  <c r="G18" i="3"/>
  <c r="G9" i="2"/>
  <c r="J2" i="1"/>
  <c r="J26" i="2"/>
  <c r="G13" i="2"/>
  <c r="J29" i="3"/>
  <c r="D30" i="2"/>
  <c r="G27" i="2"/>
  <c r="G19" i="3"/>
  <c r="J30" i="2"/>
  <c r="J16" i="2"/>
  <c r="J5" i="3"/>
  <c r="J9" i="3"/>
  <c r="D6" i="3"/>
  <c r="K2" i="1"/>
  <c r="J28" i="3"/>
  <c r="J31" i="2"/>
  <c r="D10" i="3"/>
  <c r="G3" i="2"/>
  <c r="H3" i="1"/>
  <c r="J19" i="3"/>
  <c r="F2" i="1"/>
  <c r="J27" i="3"/>
  <c r="J6" i="3"/>
  <c r="G24" i="2"/>
  <c r="D24" i="3"/>
  <c r="J20" i="3"/>
  <c r="D5" i="3"/>
  <c r="D30" i="3"/>
  <c r="J31" i="3"/>
  <c r="J8" i="3"/>
  <c r="J32" i="2"/>
  <c r="A14" i="3" l="1"/>
  <c r="A13" i="3"/>
  <c r="A15" i="3"/>
  <c r="A12" i="3"/>
  <c r="A16" i="3"/>
  <c r="A18" i="3"/>
  <c r="A22" i="3"/>
  <c r="A19" i="3"/>
  <c r="A23" i="3"/>
  <c r="A20" i="3"/>
  <c r="A21" i="3"/>
  <c r="A17" i="3"/>
  <c r="B24" i="3"/>
  <c r="A24" i="3" s="1"/>
  <c r="B11" i="3"/>
  <c r="A11" i="3" s="1"/>
  <c r="A14" i="2"/>
  <c r="A13" i="2"/>
  <c r="A15" i="2"/>
  <c r="A12" i="2"/>
  <c r="A16" i="2"/>
  <c r="A17" i="2"/>
  <c r="A19" i="2"/>
  <c r="A23" i="2"/>
  <c r="A27" i="2"/>
  <c r="A31" i="2"/>
  <c r="A20" i="2"/>
  <c r="A24" i="2"/>
  <c r="A28" i="2"/>
  <c r="A32" i="2"/>
  <c r="A21" i="2"/>
  <c r="A25" i="2"/>
  <c r="A29" i="2"/>
  <c r="A22" i="2"/>
  <c r="A26" i="2"/>
  <c r="A30" i="2"/>
  <c r="A18" i="2"/>
  <c r="B11" i="2"/>
  <c r="A11" i="2" s="1"/>
  <c r="H13" i="3"/>
  <c r="E13" i="2"/>
  <c r="G13" i="3"/>
  <c r="D13" i="2"/>
  <c r="B25" i="3" l="1"/>
  <c r="A25" i="3" s="1"/>
  <c r="B10" i="3"/>
  <c r="A10" i="3" s="1"/>
  <c r="B10" i="2"/>
  <c r="A10" i="2" s="1"/>
  <c r="H12" i="3"/>
  <c r="E12" i="2"/>
  <c r="G12" i="3"/>
  <c r="D12" i="2"/>
  <c r="B9" i="3" l="1"/>
  <c r="A9" i="3" s="1"/>
  <c r="B26" i="3"/>
  <c r="A26" i="3" s="1"/>
  <c r="B9" i="2"/>
  <c r="A9" i="2" s="1"/>
  <c r="H11" i="3"/>
  <c r="E11" i="2"/>
  <c r="G11" i="3"/>
  <c r="D11" i="2"/>
  <c r="B27" i="3" l="1"/>
  <c r="A27" i="3" s="1"/>
  <c r="B8" i="3"/>
  <c r="A8" i="3" s="1"/>
  <c r="B8" i="2"/>
  <c r="A8" i="2" s="1"/>
  <c r="H10" i="3"/>
  <c r="E10" i="2"/>
  <c r="G10" i="3"/>
  <c r="D10" i="2"/>
  <c r="B7" i="3" l="1"/>
  <c r="A7" i="3" s="1"/>
  <c r="B28" i="3"/>
  <c r="A28" i="3" s="1"/>
  <c r="B7" i="2"/>
  <c r="A7" i="2" s="1"/>
  <c r="H9" i="3"/>
  <c r="E9" i="2"/>
  <c r="G9" i="3"/>
  <c r="D9" i="2"/>
  <c r="B29" i="3" l="1"/>
  <c r="A29" i="3" s="1"/>
  <c r="B6" i="3"/>
  <c r="A6" i="3" s="1"/>
  <c r="B6" i="2"/>
  <c r="A6" i="2" s="1"/>
  <c r="H8" i="3"/>
  <c r="E8" i="2"/>
  <c r="G8" i="3"/>
  <c r="D8" i="2"/>
  <c r="B5" i="3" l="1"/>
  <c r="A5" i="3" s="1"/>
  <c r="B30" i="3"/>
  <c r="A30" i="3" s="1"/>
  <c r="B5" i="2"/>
  <c r="A5" i="2" s="1"/>
  <c r="H7" i="3"/>
  <c r="E7" i="2"/>
  <c r="G7" i="3"/>
  <c r="D7" i="2"/>
  <c r="B31" i="3" l="1"/>
  <c r="A31" i="3" s="1"/>
  <c r="B4" i="3"/>
  <c r="A4" i="3" s="1"/>
  <c r="B4" i="2"/>
  <c r="A4" i="2" s="1"/>
  <c r="H6" i="3"/>
  <c r="E6" i="2"/>
  <c r="G6" i="3"/>
  <c r="D6" i="2"/>
  <c r="B3" i="3" l="1"/>
  <c r="A3" i="3" s="1"/>
  <c r="B32" i="3"/>
  <c r="A32" i="3" s="1"/>
  <c r="B3" i="2"/>
  <c r="A3" i="2" s="1"/>
  <c r="H5" i="3"/>
  <c r="E5" i="2"/>
  <c r="G5" i="3"/>
  <c r="D5" i="2"/>
  <c r="B2" i="3" l="1"/>
  <c r="A2" i="3" s="1"/>
  <c r="B2" i="2"/>
  <c r="A2" i="2" s="1"/>
  <c r="H4" i="3"/>
  <c r="E4" i="2"/>
  <c r="G4" i="3"/>
  <c r="D4" i="2"/>
  <c r="H3" i="3" l="1"/>
  <c r="E3" i="2"/>
  <c r="G3" i="3"/>
  <c r="D3" i="2"/>
  <c r="H2" i="3" l="1"/>
  <c r="E2" i="2"/>
  <c r="D2" i="2"/>
  <c r="G2" i="3"/>
</calcChain>
</file>

<file path=xl/sharedStrings.xml><?xml version="1.0" encoding="utf-8"?>
<sst xmlns="http://schemas.openxmlformats.org/spreadsheetml/2006/main" count="101" uniqueCount="81">
  <si>
    <t>Paramètres</t>
  </si>
  <si>
    <t>Maturité</t>
  </si>
  <si>
    <t>Date de maturité</t>
  </si>
  <si>
    <t>Année de maturité</t>
  </si>
  <si>
    <t>Mois de maturité</t>
  </si>
  <si>
    <t>Prix</t>
  </si>
  <si>
    <t>Delta</t>
  </si>
  <si>
    <t>Gamma</t>
  </si>
  <si>
    <t>Theta</t>
  </si>
  <si>
    <t>Vega</t>
  </si>
  <si>
    <t>Rho</t>
  </si>
  <si>
    <t>Call</t>
  </si>
  <si>
    <t>Put</t>
  </si>
  <si>
    <t>Dividend yield (q)</t>
  </si>
  <si>
    <t>Temps avant maturité (T)</t>
  </si>
  <si>
    <t>Taux sans risque ( r )</t>
  </si>
  <si>
    <t>Month list</t>
  </si>
  <si>
    <t>Year list</t>
  </si>
  <si>
    <t>strike</t>
  </si>
  <si>
    <t>Volatilité</t>
  </si>
  <si>
    <t>Taux sans risque</t>
  </si>
  <si>
    <t>Année</t>
  </si>
  <si>
    <t>Mois</t>
  </si>
  <si>
    <t>Jours avant maturité</t>
  </si>
  <si>
    <t>Graphiques</t>
  </si>
  <si>
    <t>Pas pour strike</t>
  </si>
  <si>
    <t>Pas pour volatilité</t>
  </si>
  <si>
    <t>Pas pour taux sans risque</t>
  </si>
  <si>
    <t>Rho / Strike</t>
  </si>
  <si>
    <t>Payoff</t>
  </si>
  <si>
    <t>Spot</t>
  </si>
  <si>
    <t>Year output</t>
  </si>
  <si>
    <t>Graph list choiceList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</si>
  <si>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</si>
  <si>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</si>
  <si>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</si>
  <si>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</si>
  <si>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</si>
  <si>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</si>
  <si>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</si>
  <si>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</si>
  <si>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</si>
  <si>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</si>
  <si>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</si>
  <si>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</si>
  <si>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Call Payoff</t>
  </si>
  <si>
    <t>Prime / Strike</t>
  </si>
  <si>
    <t>Prime / Volatilité</t>
  </si>
  <si>
    <t>Prime / Taux sans risque</t>
  </si>
  <si>
    <t>Prime / Maturité</t>
  </si>
  <si>
    <t>Delta / Spot</t>
  </si>
  <si>
    <t>Gamma / Spot</t>
  </si>
  <si>
    <t>Vega / Spot</t>
  </si>
  <si>
    <t>Theta / Spot</t>
  </si>
  <si>
    <t>Rho / Spot</t>
  </si>
  <si>
    <t>Prime du call / Strike</t>
  </si>
  <si>
    <t>Prime du call / Volatilité</t>
  </si>
  <si>
    <t>Prime du call / Taux sans risque</t>
  </si>
  <si>
    <t>Prime du call / Maturité</t>
  </si>
  <si>
    <t>Put Payoff</t>
  </si>
  <si>
    <t>Call Delta / Spot</t>
  </si>
  <si>
    <t>Call Gamma / Spot</t>
  </si>
  <si>
    <t>Call Theta / Spot</t>
  </si>
  <si>
    <t>Call Vega / Spot</t>
  </si>
  <si>
    <t>Call Rho / Spot</t>
  </si>
  <si>
    <t>Put Gamma / Spot</t>
  </si>
  <si>
    <t>Put Theta / Spot</t>
  </si>
  <si>
    <t>Put Vega / Spot</t>
  </si>
  <si>
    <t>Put Delta / Spot</t>
  </si>
  <si>
    <t>Prime du put / Strike</t>
  </si>
  <si>
    <t>Prime du put / Volatilité</t>
  </si>
  <si>
    <t>Prime du put / Taux sans risque</t>
  </si>
  <si>
    <t>Prime du put / Maturité</t>
  </si>
  <si>
    <t>Volatilité annuelle (v)</t>
  </si>
  <si>
    <t>Prix strike (k)</t>
  </si>
  <si>
    <t>Prix spot (s)</t>
  </si>
  <si>
    <t>Valorisation d'options européennes</t>
  </si>
  <si>
    <t>Max Fitzpatrick</t>
  </si>
  <si>
    <t>M2 BFNI</t>
  </si>
  <si>
    <t>month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</si>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</sst>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0"/>
    <numFmt numFmtId="166" formatCode="_-[$€-2]\ * #,##0.00_-;\-[$€-2]\ * #,##0.00_-;_-[$€-2]\ * &quot;-&quot;??_-;_-@_-"/>
    <numFmt numFmtId="167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2" fillId="3" borderId="0" xfId="0" applyFont="1" applyFill="1"/>
    <xf numFmtId="0" fontId="3" fillId="3" borderId="0" xfId="0" applyFont="1" applyFill="1"/>
    <xf numFmtId="164" fontId="3" fillId="2" borderId="0" xfId="0" applyNumberFormat="1" applyFont="1" applyFill="1"/>
    <xf numFmtId="14" fontId="3" fillId="2" borderId="0" xfId="0" applyNumberFormat="1" applyFont="1" applyFill="1"/>
    <xf numFmtId="2" fontId="3" fillId="2" borderId="0" xfId="0" applyNumberFormat="1" applyFont="1" applyFill="1"/>
    <xf numFmtId="10" fontId="3" fillId="2" borderId="0" xfId="1" applyNumberFormat="1" applyFont="1" applyFill="1"/>
    <xf numFmtId="165" fontId="3" fillId="3" borderId="0" xfId="0" applyNumberFormat="1" applyFont="1" applyFill="1"/>
    <xf numFmtId="2" fontId="3" fillId="3" borderId="0" xfId="0" applyNumberFormat="1" applyFont="1" applyFill="1"/>
    <xf numFmtId="10" fontId="3" fillId="3" borderId="0" xfId="0" applyNumberFormat="1" applyFont="1" applyFill="1"/>
    <xf numFmtId="0" fontId="3" fillId="0" borderId="0" xfId="0" applyFont="1" applyFill="1"/>
    <xf numFmtId="0" fontId="0" fillId="0" borderId="0" xfId="0" applyFill="1"/>
    <xf numFmtId="166" fontId="3" fillId="0" borderId="0" xfId="0" applyNumberFormat="1" applyFont="1" applyFill="1"/>
    <xf numFmtId="10" fontId="3" fillId="0" borderId="0" xfId="1" applyNumberFormat="1" applyFont="1" applyFill="1"/>
    <xf numFmtId="14" fontId="0" fillId="0" borderId="0" xfId="0" applyNumberFormat="1"/>
    <xf numFmtId="14" fontId="3" fillId="3" borderId="0" xfId="0" applyNumberFormat="1" applyFont="1" applyFill="1"/>
    <xf numFmtId="10" fontId="0" fillId="0" borderId="0" xfId="0" applyNumberFormat="1"/>
    <xf numFmtId="167" fontId="0" fillId="0" borderId="0" xfId="0" applyNumberFormat="1"/>
    <xf numFmtId="1" fontId="0" fillId="0" borderId="0" xfId="0" applyNumberFormat="1"/>
    <xf numFmtId="164" fontId="3" fillId="0" borderId="0" xfId="0" applyNumberFormat="1" applyFont="1" applyFill="1"/>
    <xf numFmtId="0" fontId="2" fillId="3" borderId="1" xfId="0" applyFont="1" applyFill="1" applyBorder="1"/>
    <xf numFmtId="0" fontId="3" fillId="3" borderId="2" xfId="0" applyFont="1" applyFill="1" applyBorder="1"/>
    <xf numFmtId="167" fontId="3" fillId="2" borderId="0" xfId="0" applyNumberFormat="1" applyFont="1" applyFill="1"/>
    <xf numFmtId="166" fontId="3" fillId="4" borderId="0" xfId="0" applyNumberFormat="1" applyFont="1" applyFill="1"/>
    <xf numFmtId="10" fontId="3" fillId="4" borderId="0" xfId="1" applyNumberFormat="1" applyFont="1" applyFill="1"/>
  </cellXfs>
  <cellStyles count="2">
    <cellStyle name="Normal" xfId="0" builtinId="0"/>
    <cellStyle name="Pourcentage" xfId="1" builtinId="5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CALL_GRAPHS!$D$1</c:f>
              <c:strCache>
                <c:ptCount val="1"/>
                <c:pt idx="0">
                  <c:v>Prime du call / Strike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CALL_GRAPHS!$E$2:$E$32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CALL_GRAPHS!$D$2:$D$32</c:f>
              <c:numCache>
                <c:formatCode>_-[$€-2]\ * #,##0.00_-;\-[$€-2]\ * #,##0.00_-;_-[$€-2]\ * "-"??_-;_-@_-</c:formatCode>
                <c:ptCount val="31"/>
                <c:pt idx="0">
                  <c:v>75.212787884894126</c:v>
                </c:pt>
                <c:pt idx="1">
                  <c:v>70.255345461872949</c:v>
                </c:pt>
                <c:pt idx="2">
                  <c:v>65.297903038851757</c:v>
                </c:pt>
                <c:pt idx="3">
                  <c:v>60.340460615833045</c:v>
                </c:pt>
                <c:pt idx="4">
                  <c:v>55.383018193837337</c:v>
                </c:pt>
                <c:pt idx="5">
                  <c:v>50.425575891452254</c:v>
                </c:pt>
                <c:pt idx="6">
                  <c:v>45.468138846229898</c:v>
                </c:pt>
                <c:pt idx="7">
                  <c:v>40.510808767487447</c:v>
                </c:pt>
                <c:pt idx="8">
                  <c:v>35.554650336074971</c:v>
                </c:pt>
                <c:pt idx="9">
                  <c:v>30.606228448701557</c:v>
                </c:pt>
                <c:pt idx="10">
                  <c:v>25.691412964236079</c:v>
                </c:pt>
                <c:pt idx="11">
                  <c:v>20.879480967350801</c:v>
                </c:pt>
                <c:pt idx="12">
                  <c:v>16.302149946307679</c:v>
                </c:pt>
                <c:pt idx="13">
                  <c:v>12.141582216557083</c:v>
                </c:pt>
                <c:pt idx="14">
                  <c:v>8.5794865185287179</c:v>
                </c:pt>
                <c:pt idx="15">
                  <c:v>5.7336180987624843</c:v>
                </c:pt>
                <c:pt idx="16">
                  <c:v>3.6205077550735112</c:v>
                </c:pt>
                <c:pt idx="17">
                  <c:v>2.1620961722983125</c:v>
                </c:pt>
                <c:pt idx="18">
                  <c:v>1.2238153837567793</c:v>
                </c:pt>
                <c:pt idx="19">
                  <c:v>0.65861768358880646</c:v>
                </c:pt>
                <c:pt idx="20">
                  <c:v>0.3381987751346367</c:v>
                </c:pt>
                <c:pt idx="21">
                  <c:v>0.16632528442545347</c:v>
                </c:pt>
                <c:pt idx="22">
                  <c:v>7.8635436978010009E-2</c:v>
                </c:pt>
                <c:pt idx="23">
                  <c:v>3.586956410366049E-2</c:v>
                </c:pt>
                <c:pt idx="24">
                  <c:v>1.5840649504645254E-2</c:v>
                </c:pt>
                <c:pt idx="25">
                  <c:v>6.7944109892394688E-3</c:v>
                </c:pt>
                <c:pt idx="26">
                  <c:v>2.838904126975017E-3</c:v>
                </c:pt>
                <c:pt idx="27">
                  <c:v>1.1586518828299378E-3</c:v>
                </c:pt>
                <c:pt idx="28">
                  <c:v>4.6306332826303101E-4</c:v>
                </c:pt>
                <c:pt idx="29">
                  <c:v>1.8163475931918128E-4</c:v>
                </c:pt>
                <c:pt idx="30">
                  <c:v>7.0068920066708538E-5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569-49F8-AD2C-EE8562CF9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751680"/>
        <c:axId val="476760536"/>
      </c:lineChart>
      <c:catAx>
        <c:axId val="476751680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760536"/>
        <c:crosses val="autoZero"/>
        <c:auto val="1"/>
        <c:lblAlgn val="ctr"/>
        <c:lblOffset val="100"/>
        <c:noMultiLvlLbl val="0"/>
      </c:catAx>
      <c:valAx>
        <c:axId val="47676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675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CALL_GRAPHS!$G$1</c:f>
              <c:strCache>
                <c:ptCount val="1"/>
                <c:pt idx="0">
                  <c:v>Prime du call / Volatilité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CALL_GRAPHS!$H$2:$H$32</c:f>
              <c:numCache>
                <c:formatCode>0.00%</c:formatCode>
                <c:ptCount val="31"/>
                <c:pt idx="0">
                  <c:v>9.9999999999999908E-2</c:v>
                </c:pt>
                <c:pt idx="1">
                  <c:v>0.1099999999999999</c:v>
                </c:pt>
                <c:pt idx="2">
                  <c:v>0.1199999999999999</c:v>
                </c:pt>
                <c:pt idx="3">
                  <c:v>0.12999999999999989</c:v>
                </c:pt>
                <c:pt idx="4">
                  <c:v>0.1399999999999999</c:v>
                </c:pt>
                <c:pt idx="5">
                  <c:v>0.14999999999999991</c:v>
                </c:pt>
                <c:pt idx="6">
                  <c:v>0.15999999999999992</c:v>
                </c:pt>
                <c:pt idx="7">
                  <c:v>0.16999999999999993</c:v>
                </c:pt>
                <c:pt idx="8">
                  <c:v>0.17999999999999994</c:v>
                </c:pt>
                <c:pt idx="9">
                  <c:v>0.18999999999999995</c:v>
                </c:pt>
                <c:pt idx="10">
                  <c:v>0.19999999999999996</c:v>
                </c:pt>
                <c:pt idx="11">
                  <c:v>0.20999999999999996</c:v>
                </c:pt>
                <c:pt idx="12">
                  <c:v>0.21999999999999997</c:v>
                </c:pt>
                <c:pt idx="13">
                  <c:v>0.22999999999999998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0.29000000000000004</c:v>
                </c:pt>
                <c:pt idx="20">
                  <c:v>0.30000000000000004</c:v>
                </c:pt>
                <c:pt idx="21">
                  <c:v>0.31000000000000005</c:v>
                </c:pt>
                <c:pt idx="22">
                  <c:v>0.32000000000000006</c:v>
                </c:pt>
                <c:pt idx="23">
                  <c:v>0.33000000000000007</c:v>
                </c:pt>
                <c:pt idx="24">
                  <c:v>0.34000000000000008</c:v>
                </c:pt>
                <c:pt idx="25">
                  <c:v>0.35000000000000009</c:v>
                </c:pt>
                <c:pt idx="26">
                  <c:v>0.3600000000000001</c:v>
                </c:pt>
                <c:pt idx="27">
                  <c:v>0.37000000000000011</c:v>
                </c:pt>
                <c:pt idx="28">
                  <c:v>0.38000000000000012</c:v>
                </c:pt>
                <c:pt idx="29">
                  <c:v>0.39000000000000012</c:v>
                </c:pt>
                <c:pt idx="30">
                  <c:v>0.40000000000000013</c:v>
                </c:pt>
              </c:numCache>
            </c:numRef>
          </c:cat>
          <c:val>
            <c:numRef>
              <c:f>CALL_GRAPHS!$G$2:$G$32</c:f>
              <c:numCache>
                <c:formatCode>_-[$€-2]\ * #,##0.00_-;\-[$€-2]\ * #,##0.00_-;_-[$€-2]\ * "-"??_-;_-@_-</c:formatCode>
                <c:ptCount val="31"/>
                <c:pt idx="0">
                  <c:v>2.5728948197768204</c:v>
                </c:pt>
                <c:pt idx="1">
                  <c:v>2.782398327232471</c:v>
                </c:pt>
                <c:pt idx="2">
                  <c:v>2.9922927709819547</c:v>
                </c:pt>
                <c:pt idx="3">
                  <c:v>3.2024831374260359</c:v>
                </c:pt>
                <c:pt idx="4">
                  <c:v>3.4129009561959407</c:v>
                </c:pt>
                <c:pt idx="5">
                  <c:v>3.623495514671788</c:v>
                </c:pt>
                <c:pt idx="6">
                  <c:v>3.8342283425277301</c:v>
                </c:pt>
                <c:pt idx="7">
                  <c:v>4.0450696303115237</c:v>
                </c:pt>
                <c:pt idx="8">
                  <c:v>4.2559958350535254</c:v>
                </c:pt>
                <c:pt idx="9">
                  <c:v>4.466988038203155</c:v>
                </c:pt>
                <c:pt idx="10">
                  <c:v>4.6780307939830692</c:v>
                </c:pt>
                <c:pt idx="11">
                  <c:v>4.8891113054685889</c:v>
                </c:pt>
                <c:pt idx="12">
                  <c:v>5.1002188245642728</c:v>
                </c:pt>
                <c:pt idx="13">
                  <c:v>5.3113442080006124</c:v>
                </c:pt>
                <c:pt idx="14">
                  <c:v>5.5224795840055734</c:v>
                </c:pt>
                <c:pt idx="15">
                  <c:v>5.7336180987624843</c:v>
                </c:pt>
                <c:pt idx="16">
                  <c:v>5.9447537212371273</c:v>
                </c:pt>
                <c:pt idx="17">
                  <c:v>6.155881091282474</c:v>
                </c:pt>
                <c:pt idx="18">
                  <c:v>6.366995400229051</c:v>
                </c:pt>
                <c:pt idx="19">
                  <c:v>6.5780922961378039</c:v>
                </c:pt>
                <c:pt idx="20">
                  <c:v>6.7891678079736053</c:v>
                </c:pt>
                <c:pt idx="21">
                  <c:v>7.0002182844353413</c:v>
                </c:pt>
                <c:pt idx="22">
                  <c:v>7.2112403442427606</c:v>
                </c:pt>
                <c:pt idx="23">
                  <c:v>7.4222308354540729</c:v>
                </c:pt>
                <c:pt idx="24">
                  <c:v>7.6331868019580469</c:v>
                </c:pt>
                <c:pt idx="25">
                  <c:v>7.844105455708096</c:v>
                </c:pt>
                <c:pt idx="26">
                  <c:v>8.0549841535832343</c:v>
                </c:pt>
                <c:pt idx="27">
                  <c:v>8.2658203780021111</c:v>
                </c:pt>
                <c:pt idx="28">
                  <c:v>8.4766117205993297</c:v>
                </c:pt>
                <c:pt idx="29">
                  <c:v>8.6873558684152243</c:v>
                </c:pt>
                <c:pt idx="30">
                  <c:v>8.8980505921598549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57-48F2-8CF3-30153F372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766784"/>
        <c:axId val="645763504"/>
      </c:lineChart>
      <c:catAx>
        <c:axId val="645766784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5763504"/>
        <c:crosses val="autoZero"/>
        <c:auto val="1"/>
        <c:lblAlgn val="ctr"/>
        <c:lblOffset val="100"/>
        <c:noMultiLvlLbl val="0"/>
      </c:catAx>
      <c:valAx>
        <c:axId val="6457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576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CALL_GRAPHS!$J$1</c:f>
              <c:strCache>
                <c:ptCount val="1"/>
                <c:pt idx="0">
                  <c:v>Prime du call / Taux sans risque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CALL_GRAPHS!$K$2:$K$32</c:f>
              <c:numCache>
                <c:formatCode>0.00%</c:formatCode>
                <c:ptCount val="31"/>
                <c:pt idx="0">
                  <c:v>-7.4999999999999997E-3</c:v>
                </c:pt>
                <c:pt idx="1">
                  <c:v>-5.0000000000000001E-3</c:v>
                </c:pt>
                <c:pt idx="2">
                  <c:v>-2.5000000000000001E-3</c:v>
                </c:pt>
                <c:pt idx="3">
                  <c:v>0</c:v>
                </c:pt>
                <c:pt idx="4">
                  <c:v>2.5000000000000027E-3</c:v>
                </c:pt>
                <c:pt idx="5">
                  <c:v>5.0000000000000027E-3</c:v>
                </c:pt>
                <c:pt idx="6">
                  <c:v>7.5000000000000032E-3</c:v>
                </c:pt>
                <c:pt idx="7">
                  <c:v>1.0000000000000004E-2</c:v>
                </c:pt>
                <c:pt idx="8">
                  <c:v>1.2500000000000004E-2</c:v>
                </c:pt>
                <c:pt idx="9">
                  <c:v>1.5000000000000005E-2</c:v>
                </c:pt>
                <c:pt idx="10">
                  <c:v>1.7500000000000005E-2</c:v>
                </c:pt>
                <c:pt idx="11">
                  <c:v>2.0000000000000004E-2</c:v>
                </c:pt>
                <c:pt idx="12">
                  <c:v>2.2500000000000003E-2</c:v>
                </c:pt>
                <c:pt idx="13">
                  <c:v>2.5000000000000001E-2</c:v>
                </c:pt>
                <c:pt idx="14">
                  <c:v>2.75E-2</c:v>
                </c:pt>
                <c:pt idx="15">
                  <c:v>0.03</c:v>
                </c:pt>
                <c:pt idx="16">
                  <c:v>3.2500000000000001E-2</c:v>
                </c:pt>
                <c:pt idx="17">
                  <c:v>3.5000000000000003E-2</c:v>
                </c:pt>
                <c:pt idx="18">
                  <c:v>3.7500000000000006E-2</c:v>
                </c:pt>
                <c:pt idx="19">
                  <c:v>4.0000000000000008E-2</c:v>
                </c:pt>
                <c:pt idx="20">
                  <c:v>4.250000000000001E-2</c:v>
                </c:pt>
                <c:pt idx="21">
                  <c:v>4.5000000000000012E-2</c:v>
                </c:pt>
                <c:pt idx="22">
                  <c:v>4.7500000000000014E-2</c:v>
                </c:pt>
                <c:pt idx="23">
                  <c:v>5.0000000000000017E-2</c:v>
                </c:pt>
                <c:pt idx="24">
                  <c:v>5.2500000000000019E-2</c:v>
                </c:pt>
                <c:pt idx="25">
                  <c:v>5.5000000000000021E-2</c:v>
                </c:pt>
                <c:pt idx="26">
                  <c:v>5.7500000000000023E-2</c:v>
                </c:pt>
                <c:pt idx="27">
                  <c:v>6.0000000000000026E-2</c:v>
                </c:pt>
                <c:pt idx="28">
                  <c:v>6.2500000000000028E-2</c:v>
                </c:pt>
                <c:pt idx="29">
                  <c:v>6.500000000000003E-2</c:v>
                </c:pt>
                <c:pt idx="30">
                  <c:v>6.7500000000000032E-2</c:v>
                </c:pt>
              </c:numCache>
            </c:numRef>
          </c:cat>
          <c:val>
            <c:numRef>
              <c:f>CALL_GRAPHS!$J$2:$J$32</c:f>
              <c:numCache>
                <c:formatCode>_-[$€-2]\ * #,##0.00_-;\-[$€-2]\ * #,##0.00_-;_-[$€-2]\ * "-"??_-;_-@_-</c:formatCode>
                <c:ptCount val="31"/>
                <c:pt idx="0">
                  <c:v>5.2192434621272241</c:v>
                </c:pt>
                <c:pt idx="1">
                  <c:v>5.2526463854154883</c:v>
                </c:pt>
                <c:pt idx="2">
                  <c:v>5.2861769222899824</c:v>
                </c:pt>
                <c:pt idx="3">
                  <c:v>5.3198349344354483</c:v>
                </c:pt>
                <c:pt idx="4">
                  <c:v>5.3536202793389762</c:v>
                </c:pt>
                <c:pt idx="5">
                  <c:v>5.3875328102973583</c:v>
                </c:pt>
                <c:pt idx="6">
                  <c:v>5.4215723764248835</c:v>
                </c:pt>
                <c:pt idx="7">
                  <c:v>5.4557388226614378</c:v>
                </c:pt>
                <c:pt idx="8">
                  <c:v>5.490031989780995</c:v>
                </c:pt>
                <c:pt idx="9">
                  <c:v>5.5244517144004561</c:v>
                </c:pt>
                <c:pt idx="10">
                  <c:v>5.5589978289888435</c:v>
                </c:pt>
                <c:pt idx="11">
                  <c:v>5.5936701618768794</c:v>
                </c:pt>
                <c:pt idx="12">
                  <c:v>5.6284685372668193</c:v>
                </c:pt>
                <c:pt idx="13">
                  <c:v>5.6633927752427979</c:v>
                </c:pt>
                <c:pt idx="14">
                  <c:v>5.6984426917813664</c:v>
                </c:pt>
                <c:pt idx="15">
                  <c:v>5.7336180987624843</c:v>
                </c:pt>
                <c:pt idx="16">
                  <c:v>5.7689188039807746</c:v>
                </c:pt>
                <c:pt idx="17">
                  <c:v>5.8043446111573118</c:v>
                </c:pt>
                <c:pt idx="18">
                  <c:v>5.8398953199514381</c:v>
                </c:pt>
                <c:pt idx="19">
                  <c:v>5.8755707259731835</c:v>
                </c:pt>
                <c:pt idx="20">
                  <c:v>5.9113706207960348</c:v>
                </c:pt>
                <c:pt idx="21">
                  <c:v>5.9472947919698242</c:v>
                </c:pt>
                <c:pt idx="22">
                  <c:v>5.9833430230341449</c:v>
                </c:pt>
                <c:pt idx="23">
                  <c:v>6.0195150935320569</c:v>
                </c:pt>
                <c:pt idx="24">
                  <c:v>6.0558107790241849</c:v>
                </c:pt>
                <c:pt idx="25">
                  <c:v>6.0922298511029354</c:v>
                </c:pt>
                <c:pt idx="26">
                  <c:v>6.128772077407362</c:v>
                </c:pt>
                <c:pt idx="27">
                  <c:v>6.1654372216380438</c:v>
                </c:pt>
                <c:pt idx="28">
                  <c:v>6.2022250435725823</c:v>
                </c:pt>
                <c:pt idx="29">
                  <c:v>6.2391352990812052</c:v>
                </c:pt>
                <c:pt idx="30">
                  <c:v>6.2761677401428457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48-4A86-A9B3-F0B3B6C3C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012928"/>
        <c:axId val="908013584"/>
      </c:lineChart>
      <c:catAx>
        <c:axId val="908012928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8013584"/>
        <c:crosses val="autoZero"/>
        <c:auto val="1"/>
        <c:lblAlgn val="ctr"/>
        <c:lblOffset val="100"/>
        <c:noMultiLvlLbl val="0"/>
      </c:catAx>
      <c:valAx>
        <c:axId val="9080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801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CALL_GRAPHS!$M$1</c:f>
              <c:strCache>
                <c:ptCount val="1"/>
                <c:pt idx="0">
                  <c:v>Prime du call / Maturité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CALL_GRAPHS!$Q$2:$Q$25</c:f>
              <c:numCache>
                <c:formatCode>m/d/yyyy</c:formatCode>
                <c:ptCount val="24"/>
                <c:pt idx="0">
                  <c:v>43120</c:v>
                </c:pt>
                <c:pt idx="1">
                  <c:v>43148</c:v>
                </c:pt>
                <c:pt idx="2">
                  <c:v>43176</c:v>
                </c:pt>
                <c:pt idx="3">
                  <c:v>43211</c:v>
                </c:pt>
                <c:pt idx="4">
                  <c:v>43239</c:v>
                </c:pt>
                <c:pt idx="5">
                  <c:v>43267</c:v>
                </c:pt>
                <c:pt idx="6">
                  <c:v>43302</c:v>
                </c:pt>
                <c:pt idx="7">
                  <c:v>43330</c:v>
                </c:pt>
                <c:pt idx="8">
                  <c:v>43358</c:v>
                </c:pt>
                <c:pt idx="9">
                  <c:v>43393</c:v>
                </c:pt>
                <c:pt idx="10">
                  <c:v>43421</c:v>
                </c:pt>
                <c:pt idx="11">
                  <c:v>43449</c:v>
                </c:pt>
                <c:pt idx="12">
                  <c:v>43484</c:v>
                </c:pt>
                <c:pt idx="13">
                  <c:v>43512</c:v>
                </c:pt>
                <c:pt idx="14">
                  <c:v>43540</c:v>
                </c:pt>
                <c:pt idx="15">
                  <c:v>43575</c:v>
                </c:pt>
                <c:pt idx="16">
                  <c:v>43603</c:v>
                </c:pt>
                <c:pt idx="17">
                  <c:v>43631</c:v>
                </c:pt>
                <c:pt idx="18">
                  <c:v>43666</c:v>
                </c:pt>
                <c:pt idx="19">
                  <c:v>43694</c:v>
                </c:pt>
                <c:pt idx="20">
                  <c:v>43729</c:v>
                </c:pt>
                <c:pt idx="21">
                  <c:v>43757</c:v>
                </c:pt>
                <c:pt idx="22">
                  <c:v>43785</c:v>
                </c:pt>
                <c:pt idx="23">
                  <c:v>43820</c:v>
                </c:pt>
              </c:numCache>
            </c:numRef>
          </c:cat>
          <c:val>
            <c:numRef>
              <c:f>CALL_GRAPHS!$M$2:$M$25</c:f>
              <c:numCache>
                <c:formatCode>_-[$€-2]\ * #,##0.00_-;\-[$€-2]\ * #,##0.00_-;_-[$€-2]\ 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1.9349402623653802</c:v>
                </c:pt>
                <c:pt idx="3">
                  <c:v>3.8087272341252927</c:v>
                </c:pt>
                <c:pt idx="4">
                  <c:v>4.8525530946399655</c:v>
                </c:pt>
                <c:pt idx="5">
                  <c:v>5.7336180987624843</c:v>
                </c:pt>
                <c:pt idx="6">
                  <c:v>6.6984416607399666</c:v>
                </c:pt>
                <c:pt idx="7">
                  <c:v>7.395877189295625</c:v>
                </c:pt>
                <c:pt idx="8">
                  <c:v>8.0445531911575898</c:v>
                </c:pt>
                <c:pt idx="9">
                  <c:v>8.8018527476739052</c:v>
                </c:pt>
                <c:pt idx="10">
                  <c:v>9.3730517033831617</c:v>
                </c:pt>
                <c:pt idx="11">
                  <c:v>9.9186820808168221</c:v>
                </c:pt>
                <c:pt idx="12">
                  <c:v>10.570158799804155</c:v>
                </c:pt>
                <c:pt idx="13">
                  <c:v>11.070222493458608</c:v>
                </c:pt>
                <c:pt idx="14">
                  <c:v>11.553855660249361</c:v>
                </c:pt>
                <c:pt idx="15">
                  <c:v>12.137916562788483</c:v>
                </c:pt>
                <c:pt idx="16">
                  <c:v>12.590507349886991</c:v>
                </c:pt>
                <c:pt idx="17">
                  <c:v>13.031348307303112</c:v>
                </c:pt>
                <c:pt idx="18">
                  <c:v>13.567380988295788</c:v>
                </c:pt>
                <c:pt idx="19">
                  <c:v>13.98522073906679</c:v>
                </c:pt>
                <c:pt idx="20">
                  <c:v>14.494971620497111</c:v>
                </c:pt>
                <c:pt idx="21">
                  <c:v>14.89349229405471</c:v>
                </c:pt>
                <c:pt idx="22">
                  <c:v>15.284355625589505</c:v>
                </c:pt>
                <c:pt idx="23">
                  <c:v>15.762895843486326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57-4676-A8C3-44295C3BF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8433640"/>
        <c:axId val="838436920"/>
      </c:lineChart>
      <c:dateAx>
        <c:axId val="8384336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8436920"/>
        <c:crosses val="autoZero"/>
        <c:auto val="1"/>
        <c:lblOffset val="100"/>
        <c:baseTimeUnit val="months"/>
      </c:dateAx>
      <c:valAx>
        <c:axId val="83843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843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CALL_GRAPHS!$A$1</c:f>
              <c:strCache>
                <c:ptCount val="1"/>
                <c:pt idx="0">
                  <c:v>Call Payoff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CALL_GRAPHS!$B$2:$B$32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CALL_GRAPHS!$A$2:$A$32</c:f>
              <c:numCache>
                <c:formatCode>_-[$€-2]\ * #,##0.00_-;\-[$€-2]\ * #,##0.00_-;_-[$€-2]\ * "-"??_-;_-@_-</c:formatCode>
                <c:ptCount val="31"/>
                <c:pt idx="0">
                  <c:v>-5.7336180987624843</c:v>
                </c:pt>
                <c:pt idx="1">
                  <c:v>-5.7336180987624843</c:v>
                </c:pt>
                <c:pt idx="2">
                  <c:v>-5.7336180987624843</c:v>
                </c:pt>
                <c:pt idx="3">
                  <c:v>-5.7336180987624843</c:v>
                </c:pt>
                <c:pt idx="4">
                  <c:v>-5.7336180987624843</c:v>
                </c:pt>
                <c:pt idx="5">
                  <c:v>-5.7336180987624843</c:v>
                </c:pt>
                <c:pt idx="6">
                  <c:v>-5.7336180987624843</c:v>
                </c:pt>
                <c:pt idx="7">
                  <c:v>-5.7336180987624843</c:v>
                </c:pt>
                <c:pt idx="8">
                  <c:v>-5.7336180987624843</c:v>
                </c:pt>
                <c:pt idx="9">
                  <c:v>-5.7336180987624843</c:v>
                </c:pt>
                <c:pt idx="10">
                  <c:v>-5.7336180987624843</c:v>
                </c:pt>
                <c:pt idx="11">
                  <c:v>-5.7336180987624843</c:v>
                </c:pt>
                <c:pt idx="12">
                  <c:v>-5.7336180987624843</c:v>
                </c:pt>
                <c:pt idx="13">
                  <c:v>-5.7336180987624843</c:v>
                </c:pt>
                <c:pt idx="14">
                  <c:v>-5.7336180987624843</c:v>
                </c:pt>
                <c:pt idx="15">
                  <c:v>-5.7336180987624843</c:v>
                </c:pt>
                <c:pt idx="16">
                  <c:v>-0.73361809876248429</c:v>
                </c:pt>
                <c:pt idx="17">
                  <c:v>4.2663819012375157</c:v>
                </c:pt>
                <c:pt idx="18">
                  <c:v>9.2663819012375157</c:v>
                </c:pt>
                <c:pt idx="19">
                  <c:v>14.266381901237516</c:v>
                </c:pt>
                <c:pt idx="20">
                  <c:v>19.266381901237516</c:v>
                </c:pt>
                <c:pt idx="21">
                  <c:v>24.266381901237516</c:v>
                </c:pt>
                <c:pt idx="22">
                  <c:v>29.266381901237516</c:v>
                </c:pt>
                <c:pt idx="23">
                  <c:v>34.266381901237516</c:v>
                </c:pt>
                <c:pt idx="24">
                  <c:v>39.266381901237516</c:v>
                </c:pt>
                <c:pt idx="25">
                  <c:v>44.266381901237516</c:v>
                </c:pt>
                <c:pt idx="26">
                  <c:v>49.266381901237516</c:v>
                </c:pt>
                <c:pt idx="27">
                  <c:v>54.266381901237516</c:v>
                </c:pt>
                <c:pt idx="28">
                  <c:v>59.266381901237516</c:v>
                </c:pt>
                <c:pt idx="29">
                  <c:v>64.266381901237509</c:v>
                </c:pt>
                <c:pt idx="30">
                  <c:v>69.266381901237509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D6-4614-A226-33FA6750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8577208"/>
        <c:axId val="678577536"/>
      </c:lineChart>
      <c:catAx>
        <c:axId val="678577208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8577536"/>
        <c:crosses val="autoZero"/>
        <c:auto val="1"/>
        <c:lblAlgn val="ctr"/>
        <c:lblOffset val="100"/>
        <c:noMultiLvlLbl val="0"/>
      </c:catAx>
      <c:valAx>
        <c:axId val="6785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857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PUT_GRAPHS!$D$1</c:f>
              <c:strCache>
                <c:ptCount val="1"/>
                <c:pt idx="0">
                  <c:v>Prime du put / Strike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PUT_GRAPHS!$E$2:$E$32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PUT_GRAPHS!$D$2:$D$32</c:f>
              <c:numCache>
                <c:formatCode>_-[$€-2]\ * #,##0.00_-;\-[$€-2]\ * #,##0.00_-;_-[$€-2]\ * "-"??_-;_-@_-</c:formatCode>
                <c:ptCount val="31"/>
                <c:pt idx="0">
                  <c:v>4.4524702666342366E-26</c:v>
                </c:pt>
                <c:pt idx="1">
                  <c:v>4.0074945621733327E-20</c:v>
                </c:pt>
                <c:pt idx="2">
                  <c:v>1.0434032890516619E-15</c:v>
                </c:pt>
                <c:pt idx="3">
                  <c:v>2.4435300037153098E-12</c:v>
                </c:pt>
                <c:pt idx="4">
                  <c:v>1.027909839145001E-9</c:v>
                </c:pt>
                <c:pt idx="5">
                  <c:v>1.2166399538646638E-7</c:v>
                </c:pt>
                <c:pt idx="6">
                  <c:v>5.4994628384082611E-6</c:v>
                </c:pt>
                <c:pt idx="7">
                  <c:v>1.1784374156938388E-4</c:v>
                </c:pt>
                <c:pt idx="8">
                  <c:v>1.4018353502470854E-3</c:v>
                </c:pt>
                <c:pt idx="9">
                  <c:v>1.0422370998013741E-2</c:v>
                </c:pt>
                <c:pt idx="10">
                  <c:v>5.3049309553714119E-2</c:v>
                </c:pt>
                <c:pt idx="11">
                  <c:v>0.19855973568962071</c:v>
                </c:pt>
                <c:pt idx="12">
                  <c:v>0.57867113766766032</c:v>
                </c:pt>
                <c:pt idx="13">
                  <c:v>1.3755458309382433</c:v>
                </c:pt>
                <c:pt idx="14">
                  <c:v>2.7708925559310522</c:v>
                </c:pt>
                <c:pt idx="15">
                  <c:v>4.8824665591859855</c:v>
                </c:pt>
                <c:pt idx="16">
                  <c:v>7.7267986385182041</c:v>
                </c:pt>
                <c:pt idx="17">
                  <c:v>11.225829478764183</c:v>
                </c:pt>
                <c:pt idx="18">
                  <c:v>15.244991113243813</c:v>
                </c:pt>
                <c:pt idx="19">
                  <c:v>19.637235836097034</c:v>
                </c:pt>
                <c:pt idx="20">
                  <c:v>24.274259350664025</c:v>
                </c:pt>
                <c:pt idx="21">
                  <c:v>29.059828282976014</c:v>
                </c:pt>
                <c:pt idx="22">
                  <c:v>33.929580858549755</c:v>
                </c:pt>
                <c:pt idx="23">
                  <c:v>38.844257408696578</c:v>
                </c:pt>
                <c:pt idx="24">
                  <c:v>43.781670917118731</c:v>
                </c:pt>
                <c:pt idx="25">
                  <c:v>48.730067101624513</c:v>
                </c:pt>
                <c:pt idx="26">
                  <c:v>53.683554017783408</c:v>
                </c:pt>
                <c:pt idx="27">
                  <c:v>58.639316188560457</c:v>
                </c:pt>
                <c:pt idx="28">
                  <c:v>63.596063023027057</c:v>
                </c:pt>
                <c:pt idx="29">
                  <c:v>68.553224017479309</c:v>
                </c:pt>
                <c:pt idx="30">
                  <c:v>73.510554874661224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04-4752-9D8B-57B38210C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018504"/>
        <c:axId val="908020472"/>
      </c:lineChart>
      <c:catAx>
        <c:axId val="908018504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8020472"/>
        <c:crosses val="autoZero"/>
        <c:auto val="1"/>
        <c:lblAlgn val="ctr"/>
        <c:lblOffset val="100"/>
        <c:noMultiLvlLbl val="0"/>
      </c:catAx>
      <c:valAx>
        <c:axId val="90802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8018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PUT_GRAPHS!$G$1</c:f>
              <c:strCache>
                <c:ptCount val="1"/>
                <c:pt idx="0">
                  <c:v>Prime du put / Volatilité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PUT_GRAPHS!$H$2:$H$32</c:f>
              <c:numCache>
                <c:formatCode>0.00%</c:formatCode>
                <c:ptCount val="31"/>
                <c:pt idx="0">
                  <c:v>9.9999999999999908E-2</c:v>
                </c:pt>
                <c:pt idx="1">
                  <c:v>0.1099999999999999</c:v>
                </c:pt>
                <c:pt idx="2">
                  <c:v>0.1199999999999999</c:v>
                </c:pt>
                <c:pt idx="3">
                  <c:v>0.12999999999999989</c:v>
                </c:pt>
                <c:pt idx="4">
                  <c:v>0.1399999999999999</c:v>
                </c:pt>
                <c:pt idx="5">
                  <c:v>0.14999999999999991</c:v>
                </c:pt>
                <c:pt idx="6">
                  <c:v>0.15999999999999992</c:v>
                </c:pt>
                <c:pt idx="7">
                  <c:v>0.16999999999999993</c:v>
                </c:pt>
                <c:pt idx="8">
                  <c:v>0.17999999999999994</c:v>
                </c:pt>
                <c:pt idx="9">
                  <c:v>0.18999999999999995</c:v>
                </c:pt>
                <c:pt idx="10">
                  <c:v>0.19999999999999996</c:v>
                </c:pt>
                <c:pt idx="11">
                  <c:v>0.20999999999999996</c:v>
                </c:pt>
                <c:pt idx="12">
                  <c:v>0.21999999999999997</c:v>
                </c:pt>
                <c:pt idx="13">
                  <c:v>0.22999999999999998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0.29000000000000004</c:v>
                </c:pt>
                <c:pt idx="20">
                  <c:v>0.30000000000000004</c:v>
                </c:pt>
                <c:pt idx="21">
                  <c:v>0.31000000000000005</c:v>
                </c:pt>
                <c:pt idx="22">
                  <c:v>0.32000000000000006</c:v>
                </c:pt>
                <c:pt idx="23">
                  <c:v>0.33000000000000007</c:v>
                </c:pt>
                <c:pt idx="24">
                  <c:v>0.34000000000000008</c:v>
                </c:pt>
                <c:pt idx="25">
                  <c:v>0.35000000000000009</c:v>
                </c:pt>
                <c:pt idx="26">
                  <c:v>0.3600000000000001</c:v>
                </c:pt>
                <c:pt idx="27">
                  <c:v>0.37000000000000011</c:v>
                </c:pt>
                <c:pt idx="28">
                  <c:v>0.38000000000000012</c:v>
                </c:pt>
                <c:pt idx="29">
                  <c:v>0.39000000000000012</c:v>
                </c:pt>
                <c:pt idx="30">
                  <c:v>0.40000000000000013</c:v>
                </c:pt>
              </c:numCache>
            </c:numRef>
          </c:cat>
          <c:val>
            <c:numRef>
              <c:f>PUT_GRAPHS!$G$2:$G$32</c:f>
              <c:numCache>
                <c:formatCode>_-[$€-2]\ * #,##0.00_-;\-[$€-2]\ * #,##0.00_-;_-[$€-2]\ * "-"??_-;_-@_-</c:formatCode>
                <c:ptCount val="31"/>
                <c:pt idx="0">
                  <c:v>1.7217432802003216</c:v>
                </c:pt>
                <c:pt idx="1">
                  <c:v>1.9312467876559722</c:v>
                </c:pt>
                <c:pt idx="2">
                  <c:v>2.1411412314054701</c:v>
                </c:pt>
                <c:pt idx="3">
                  <c:v>2.3513315978495442</c:v>
                </c:pt>
                <c:pt idx="4">
                  <c:v>2.5617494166194419</c:v>
                </c:pt>
                <c:pt idx="5">
                  <c:v>2.7723439750952892</c:v>
                </c:pt>
                <c:pt idx="6">
                  <c:v>2.9830768029512384</c:v>
                </c:pt>
                <c:pt idx="7">
                  <c:v>3.1939180907350391</c:v>
                </c:pt>
                <c:pt idx="8">
                  <c:v>3.4048442954770266</c:v>
                </c:pt>
                <c:pt idx="9">
                  <c:v>3.6158364986266562</c:v>
                </c:pt>
                <c:pt idx="10">
                  <c:v>3.8268792544065846</c:v>
                </c:pt>
                <c:pt idx="11">
                  <c:v>4.0379597658920972</c:v>
                </c:pt>
                <c:pt idx="12">
                  <c:v>4.2490672849877811</c:v>
                </c:pt>
                <c:pt idx="13">
                  <c:v>4.4601926684241278</c:v>
                </c:pt>
                <c:pt idx="14">
                  <c:v>4.6713280444290746</c:v>
                </c:pt>
                <c:pt idx="15">
                  <c:v>4.8824665591859855</c:v>
                </c:pt>
                <c:pt idx="16">
                  <c:v>5.0936021816606356</c:v>
                </c:pt>
                <c:pt idx="17">
                  <c:v>5.3047295517059823</c:v>
                </c:pt>
                <c:pt idx="18">
                  <c:v>5.5158438606525522</c:v>
                </c:pt>
                <c:pt idx="19">
                  <c:v>5.7269407565613122</c:v>
                </c:pt>
                <c:pt idx="20">
                  <c:v>5.9380162683971207</c:v>
                </c:pt>
                <c:pt idx="21">
                  <c:v>6.1490667448588567</c:v>
                </c:pt>
                <c:pt idx="22">
                  <c:v>6.3600888046662618</c:v>
                </c:pt>
                <c:pt idx="23">
                  <c:v>6.5710792958775812</c:v>
                </c:pt>
                <c:pt idx="24">
                  <c:v>6.7820352623815623</c:v>
                </c:pt>
                <c:pt idx="25">
                  <c:v>6.9929539161316043</c:v>
                </c:pt>
                <c:pt idx="26">
                  <c:v>7.2038326140067355</c:v>
                </c:pt>
                <c:pt idx="27">
                  <c:v>7.4146688384256194</c:v>
                </c:pt>
                <c:pt idx="28">
                  <c:v>7.625460181022838</c:v>
                </c:pt>
                <c:pt idx="29">
                  <c:v>7.8362043288387255</c:v>
                </c:pt>
                <c:pt idx="30">
                  <c:v>8.0468990525833561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91-42FD-BFC8-81C613E4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3756392"/>
        <c:axId val="833758032"/>
      </c:lineChart>
      <c:catAx>
        <c:axId val="83375639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3758032"/>
        <c:crosses val="autoZero"/>
        <c:auto val="1"/>
        <c:lblAlgn val="ctr"/>
        <c:lblOffset val="100"/>
        <c:noMultiLvlLbl val="0"/>
      </c:catAx>
      <c:valAx>
        <c:axId val="83375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33756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PUT_GRAPHS!$J$1</c:f>
              <c:strCache>
                <c:ptCount val="1"/>
                <c:pt idx="0">
                  <c:v>Prime du put / Taux sans risque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PUT_GRAPHS!$K$2:$K$32</c:f>
              <c:numCache>
                <c:formatCode>0.00%</c:formatCode>
                <c:ptCount val="31"/>
                <c:pt idx="0">
                  <c:v>-7.4999999999999997E-3</c:v>
                </c:pt>
                <c:pt idx="1">
                  <c:v>-5.0000000000000001E-3</c:v>
                </c:pt>
                <c:pt idx="2">
                  <c:v>-2.5000000000000001E-3</c:v>
                </c:pt>
                <c:pt idx="3">
                  <c:v>0</c:v>
                </c:pt>
                <c:pt idx="4">
                  <c:v>2.5000000000000027E-3</c:v>
                </c:pt>
                <c:pt idx="5">
                  <c:v>5.0000000000000027E-3</c:v>
                </c:pt>
                <c:pt idx="6">
                  <c:v>7.5000000000000032E-3</c:v>
                </c:pt>
                <c:pt idx="7">
                  <c:v>1.0000000000000004E-2</c:v>
                </c:pt>
                <c:pt idx="8">
                  <c:v>1.2500000000000004E-2</c:v>
                </c:pt>
                <c:pt idx="9">
                  <c:v>1.5000000000000005E-2</c:v>
                </c:pt>
                <c:pt idx="10">
                  <c:v>1.7500000000000005E-2</c:v>
                </c:pt>
                <c:pt idx="11">
                  <c:v>2.0000000000000004E-2</c:v>
                </c:pt>
                <c:pt idx="12">
                  <c:v>2.2500000000000003E-2</c:v>
                </c:pt>
                <c:pt idx="13">
                  <c:v>2.5000000000000001E-2</c:v>
                </c:pt>
                <c:pt idx="14">
                  <c:v>2.75E-2</c:v>
                </c:pt>
                <c:pt idx="15">
                  <c:v>0.03</c:v>
                </c:pt>
                <c:pt idx="16">
                  <c:v>3.2500000000000001E-2</c:v>
                </c:pt>
                <c:pt idx="17">
                  <c:v>3.5000000000000003E-2</c:v>
                </c:pt>
                <c:pt idx="18">
                  <c:v>3.7500000000000006E-2</c:v>
                </c:pt>
                <c:pt idx="19">
                  <c:v>4.0000000000000008E-2</c:v>
                </c:pt>
                <c:pt idx="20">
                  <c:v>4.250000000000001E-2</c:v>
                </c:pt>
                <c:pt idx="21">
                  <c:v>4.5000000000000012E-2</c:v>
                </c:pt>
                <c:pt idx="22">
                  <c:v>4.7500000000000014E-2</c:v>
                </c:pt>
                <c:pt idx="23">
                  <c:v>5.0000000000000017E-2</c:v>
                </c:pt>
                <c:pt idx="24">
                  <c:v>5.2500000000000019E-2</c:v>
                </c:pt>
                <c:pt idx="25">
                  <c:v>5.5000000000000021E-2</c:v>
                </c:pt>
                <c:pt idx="26">
                  <c:v>5.7500000000000023E-2</c:v>
                </c:pt>
                <c:pt idx="27">
                  <c:v>6.0000000000000026E-2</c:v>
                </c:pt>
                <c:pt idx="28">
                  <c:v>6.2500000000000028E-2</c:v>
                </c:pt>
                <c:pt idx="29">
                  <c:v>6.500000000000003E-2</c:v>
                </c:pt>
                <c:pt idx="30">
                  <c:v>6.7500000000000032E-2</c:v>
                </c:pt>
              </c:numCache>
            </c:numRef>
          </c:cat>
          <c:val>
            <c:numRef>
              <c:f>PUT_GRAPHS!$J$2:$J$32</c:f>
              <c:numCache>
                <c:formatCode>_-[$€-2]\ * #,##0.00_-;\-[$€-2]\ * #,##0.00_-;_-[$€-2]\ * "-"??_-;_-@_-</c:formatCode>
                <c:ptCount val="31"/>
                <c:pt idx="0">
                  <c:v>5.4331705905237015</c:v>
                </c:pt>
                <c:pt idx="1">
                  <c:v>5.3952136695043933</c:v>
                </c:pt>
                <c:pt idx="2">
                  <c:v>5.3574351756410792</c:v>
                </c:pt>
                <c:pt idx="3">
                  <c:v>5.3198349344354483</c:v>
                </c:pt>
                <c:pt idx="4">
                  <c:v>5.2824127672172807</c:v>
                </c:pt>
                <c:pt idx="5">
                  <c:v>5.245168491151766</c:v>
                </c:pt>
                <c:pt idx="6">
                  <c:v>5.2081019192474116</c:v>
                </c:pt>
                <c:pt idx="7">
                  <c:v>5.1712128603639371</c:v>
                </c:pt>
                <c:pt idx="8">
                  <c:v>5.1345011192208716</c:v>
                </c:pt>
                <c:pt idx="9">
                  <c:v>5.0979664964063787</c:v>
                </c:pt>
                <c:pt idx="10">
                  <c:v>5.0616087883863585</c:v>
                </c:pt>
                <c:pt idx="11">
                  <c:v>5.0254277875140687</c:v>
                </c:pt>
                <c:pt idx="12">
                  <c:v>4.9894232820399225</c:v>
                </c:pt>
                <c:pt idx="13">
                  <c:v>4.9535950561217561</c:v>
                </c:pt>
                <c:pt idx="14">
                  <c:v>4.9179428898355084</c:v>
                </c:pt>
                <c:pt idx="15">
                  <c:v>4.8824665591859855</c:v>
                </c:pt>
                <c:pt idx="16">
                  <c:v>4.8471658361183216</c:v>
                </c:pt>
                <c:pt idx="17">
                  <c:v>4.8120404885294548</c:v>
                </c:pt>
                <c:pt idx="18">
                  <c:v>4.7770902802802695</c:v>
                </c:pt>
                <c:pt idx="19">
                  <c:v>4.7423149712077901</c:v>
                </c:pt>
                <c:pt idx="20">
                  <c:v>4.7077143171378708</c:v>
                </c:pt>
                <c:pt idx="21">
                  <c:v>4.6732880698982768</c:v>
                </c:pt>
                <c:pt idx="22">
                  <c:v>4.6390359773319503</c:v>
                </c:pt>
                <c:pt idx="23">
                  <c:v>4.6049577833106952</c:v>
                </c:pt>
                <c:pt idx="24">
                  <c:v>4.5710532277492533</c:v>
                </c:pt>
                <c:pt idx="25">
                  <c:v>4.5373220466196145</c:v>
                </c:pt>
                <c:pt idx="26">
                  <c:v>4.5037639719656681</c:v>
                </c:pt>
                <c:pt idx="27">
                  <c:v>4.4703787319183093</c:v>
                </c:pt>
                <c:pt idx="28">
                  <c:v>4.4371660507106867</c:v>
                </c:pt>
                <c:pt idx="29">
                  <c:v>4.4041256486939062</c:v>
                </c:pt>
                <c:pt idx="30">
                  <c:v>4.3712572423530531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89-43CD-B08A-18B06B7AF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528152"/>
        <c:axId val="845525856"/>
      </c:lineChart>
      <c:catAx>
        <c:axId val="84552815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5525856"/>
        <c:crosses val="autoZero"/>
        <c:auto val="1"/>
        <c:lblAlgn val="ctr"/>
        <c:lblOffset val="100"/>
        <c:noMultiLvlLbl val="0"/>
      </c:catAx>
      <c:valAx>
        <c:axId val="84552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4552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PUT_GRAPHS!$M$1</c:f>
              <c:strCache>
                <c:ptCount val="1"/>
                <c:pt idx="0">
                  <c:v>Prime du put / Maturité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PUT_GRAPHS!$Q$2:$Q$25</c:f>
              <c:numCache>
                <c:formatCode>m/d/yyyy</c:formatCode>
                <c:ptCount val="24"/>
                <c:pt idx="0">
                  <c:v>43120</c:v>
                </c:pt>
                <c:pt idx="1">
                  <c:v>43148</c:v>
                </c:pt>
                <c:pt idx="2">
                  <c:v>43176</c:v>
                </c:pt>
                <c:pt idx="3">
                  <c:v>43211</c:v>
                </c:pt>
                <c:pt idx="4">
                  <c:v>43239</c:v>
                </c:pt>
                <c:pt idx="5">
                  <c:v>43267</c:v>
                </c:pt>
                <c:pt idx="6">
                  <c:v>43302</c:v>
                </c:pt>
                <c:pt idx="7">
                  <c:v>43330</c:v>
                </c:pt>
                <c:pt idx="8">
                  <c:v>43358</c:v>
                </c:pt>
                <c:pt idx="9">
                  <c:v>43393</c:v>
                </c:pt>
                <c:pt idx="10">
                  <c:v>43421</c:v>
                </c:pt>
                <c:pt idx="11">
                  <c:v>43449</c:v>
                </c:pt>
                <c:pt idx="12">
                  <c:v>43484</c:v>
                </c:pt>
                <c:pt idx="13">
                  <c:v>43512</c:v>
                </c:pt>
                <c:pt idx="14">
                  <c:v>43540</c:v>
                </c:pt>
                <c:pt idx="15">
                  <c:v>43575</c:v>
                </c:pt>
                <c:pt idx="16">
                  <c:v>43603</c:v>
                </c:pt>
                <c:pt idx="17">
                  <c:v>43631</c:v>
                </c:pt>
                <c:pt idx="18">
                  <c:v>43666</c:v>
                </c:pt>
                <c:pt idx="19">
                  <c:v>43694</c:v>
                </c:pt>
                <c:pt idx="20">
                  <c:v>43729</c:v>
                </c:pt>
                <c:pt idx="21">
                  <c:v>43757</c:v>
                </c:pt>
                <c:pt idx="22">
                  <c:v>43785</c:v>
                </c:pt>
                <c:pt idx="23">
                  <c:v>43820</c:v>
                </c:pt>
              </c:numCache>
            </c:numRef>
          </c:cat>
          <c:val>
            <c:numRef>
              <c:f>PUT_GRAPHS!$M$2:$M$25</c:f>
              <c:numCache>
                <c:formatCode>_-[$€-2]\ * #,##0.00_-;\-[$€-2]\ * #,##0.00_-;_-[$€-2]\ 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1.8281480108517343</c:v>
                </c:pt>
                <c:pt idx="3">
                  <c:v>3.4149838960736645</c:v>
                </c:pt>
                <c:pt idx="4">
                  <c:v>4.2298424895795321</c:v>
                </c:pt>
                <c:pt idx="5">
                  <c:v>4.8824665591859855</c:v>
                </c:pt>
                <c:pt idx="6">
                  <c:v>5.5624772651548824</c:v>
                </c:pt>
                <c:pt idx="7">
                  <c:v>6.0326516878682597</c:v>
                </c:pt>
                <c:pt idx="8">
                  <c:v>6.4545889943875281</c:v>
                </c:pt>
                <c:pt idx="9">
                  <c:v>6.929197992291698</c:v>
                </c:pt>
                <c:pt idx="10">
                  <c:v>7.2748292897790137</c:v>
                </c:pt>
                <c:pt idx="11">
                  <c:v>7.5954105267220484</c:v>
                </c:pt>
                <c:pt idx="12">
                  <c:v>7.9663031700873717</c:v>
                </c:pt>
                <c:pt idx="13">
                  <c:v>8.2424800343296525</c:v>
                </c:pt>
                <c:pt idx="14">
                  <c:v>8.5027410256784677</c:v>
                </c:pt>
                <c:pt idx="15">
                  <c:v>8.8083086390211776</c:v>
                </c:pt>
                <c:pt idx="16">
                  <c:v>9.0386809007364377</c:v>
                </c:pt>
                <c:pt idx="17">
                  <c:v>9.2578141517694377</c:v>
                </c:pt>
                <c:pt idx="18">
                  <c:v>9.517428750390593</c:v>
                </c:pt>
                <c:pt idx="19">
                  <c:v>9.7147058483554147</c:v>
                </c:pt>
                <c:pt idx="20">
                  <c:v>9.949466263617154</c:v>
                </c:pt>
                <c:pt idx="21">
                  <c:v>10.128563424088455</c:v>
                </c:pt>
                <c:pt idx="22">
                  <c:v>10.300507636575965</c:v>
                </c:pt>
                <c:pt idx="23">
                  <c:v>10.506106493666167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98-47A6-825B-13C566C1C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786136"/>
        <c:axId val="645788104"/>
      </c:lineChart>
      <c:dateAx>
        <c:axId val="64578613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5788104"/>
        <c:crosses val="autoZero"/>
        <c:auto val="1"/>
        <c:lblOffset val="100"/>
        <c:baseTimeUnit val="months"/>
      </c:dateAx>
      <c:valAx>
        <c:axId val="64578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578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PUT_GRAPHS!$A$1</c:f>
              <c:strCache>
                <c:ptCount val="1"/>
                <c:pt idx="0">
                  <c:v>Put Payoff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PUT_GRAPHS!$B$2:$B$32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PUT_GRAPHS!$A$2:$A$32</c:f>
              <c:numCache>
                <c:formatCode>_-[$€-2]\ * #,##0.00_-;\-[$€-2]\ * #,##0.00_-;_-[$€-2]\ * "-"??_-;_-@_-</c:formatCode>
                <c:ptCount val="31"/>
                <c:pt idx="0">
                  <c:v>70.117533440814015</c:v>
                </c:pt>
                <c:pt idx="1">
                  <c:v>65.117533440814015</c:v>
                </c:pt>
                <c:pt idx="2">
                  <c:v>60.117533440814015</c:v>
                </c:pt>
                <c:pt idx="3">
                  <c:v>55.117533440814015</c:v>
                </c:pt>
                <c:pt idx="4">
                  <c:v>50.117533440814015</c:v>
                </c:pt>
                <c:pt idx="5">
                  <c:v>45.117533440814015</c:v>
                </c:pt>
                <c:pt idx="6">
                  <c:v>40.117533440814015</c:v>
                </c:pt>
                <c:pt idx="7">
                  <c:v>35.117533440814015</c:v>
                </c:pt>
                <c:pt idx="8">
                  <c:v>30.117533440814015</c:v>
                </c:pt>
                <c:pt idx="9">
                  <c:v>25.117533440814015</c:v>
                </c:pt>
                <c:pt idx="10">
                  <c:v>20.117533440814015</c:v>
                </c:pt>
                <c:pt idx="11">
                  <c:v>15.117533440814015</c:v>
                </c:pt>
                <c:pt idx="12">
                  <c:v>10.117533440814015</c:v>
                </c:pt>
                <c:pt idx="13">
                  <c:v>5.1175334408140145</c:v>
                </c:pt>
                <c:pt idx="14">
                  <c:v>0.11753344081401451</c:v>
                </c:pt>
                <c:pt idx="15">
                  <c:v>-4.8824665591859855</c:v>
                </c:pt>
                <c:pt idx="16">
                  <c:v>-4.8824665591859855</c:v>
                </c:pt>
                <c:pt idx="17">
                  <c:v>-4.8824665591859855</c:v>
                </c:pt>
                <c:pt idx="18">
                  <c:v>-4.8824665591859855</c:v>
                </c:pt>
                <c:pt idx="19">
                  <c:v>-4.8824665591859855</c:v>
                </c:pt>
                <c:pt idx="20">
                  <c:v>-4.8824665591859855</c:v>
                </c:pt>
                <c:pt idx="21">
                  <c:v>-4.8824665591859855</c:v>
                </c:pt>
                <c:pt idx="22">
                  <c:v>-4.8824665591859855</c:v>
                </c:pt>
                <c:pt idx="23">
                  <c:v>-4.8824665591859855</c:v>
                </c:pt>
                <c:pt idx="24">
                  <c:v>-4.8824665591859855</c:v>
                </c:pt>
                <c:pt idx="25">
                  <c:v>-4.8824665591859855</c:v>
                </c:pt>
                <c:pt idx="26">
                  <c:v>-4.8824665591859855</c:v>
                </c:pt>
                <c:pt idx="27">
                  <c:v>-4.8824665591859855</c:v>
                </c:pt>
                <c:pt idx="28">
                  <c:v>-4.8824665591859855</c:v>
                </c:pt>
                <c:pt idx="29">
                  <c:v>-4.8824665591859855</c:v>
                </c:pt>
                <c:pt idx="30">
                  <c:v>-4.8824665591859855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2B-4512-A430-BD6A698BA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045736"/>
        <c:axId val="895050328"/>
      </c:lineChart>
      <c:catAx>
        <c:axId val="895045736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5050328"/>
        <c:crosses val="autoZero"/>
        <c:auto val="1"/>
        <c:lblAlgn val="ctr"/>
        <c:lblOffset val="100"/>
        <c:noMultiLvlLbl val="0"/>
      </c:catAx>
      <c:valAx>
        <c:axId val="8950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5045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CALL_GREEK_GRAPHS!$A$1</c:f>
              <c:strCache>
                <c:ptCount val="1"/>
                <c:pt idx="0">
                  <c:v>Call Delta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CALL_GREEK_GRAPHS!$B$2:$B$32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CALL_GREEK_GRAPHS!$A$2:$A$32</c:f>
              <c:numCache>
                <c:formatCode>0.0000</c:formatCode>
                <c:ptCount val="31"/>
                <c:pt idx="0">
                  <c:v>5.4730459245950591E-25</c:v>
                </c:pt>
                <c:pt idx="1">
                  <c:v>3.0199993702066102E-19</c:v>
                </c:pt>
                <c:pt idx="2">
                  <c:v>5.1234289594656121E-15</c:v>
                </c:pt>
                <c:pt idx="3">
                  <c:v>8.166907306820084E-12</c:v>
                </c:pt>
                <c:pt idx="4">
                  <c:v>2.4152509796207957E-9</c:v>
                </c:pt>
                <c:pt idx="5">
                  <c:v>2.0594361421917609E-7</c:v>
                </c:pt>
                <c:pt idx="6">
                  <c:v>6.8328405877066067E-6</c:v>
                </c:pt>
                <c:pt idx="7">
                  <c:v>1.0902201413423035E-4</c:v>
                </c:pt>
                <c:pt idx="8">
                  <c:v>9.763592718819655E-4</c:v>
                </c:pt>
                <c:pt idx="9">
                  <c:v>5.5110680741143839E-3</c:v>
                </c:pt>
                <c:pt idx="10">
                  <c:v>2.1434085262114776E-2</c:v>
                </c:pt>
                <c:pt idx="11">
                  <c:v>6.1613730249191555E-2</c:v>
                </c:pt>
                <c:pt idx="12">
                  <c:v>0.13850266199635791</c:v>
                </c:pt>
                <c:pt idx="13">
                  <c:v>0.25502825625524433</c:v>
                </c:pt>
                <c:pt idx="14">
                  <c:v>0.39990528334206676</c:v>
                </c:pt>
                <c:pt idx="15">
                  <c:v>0.55202473071595781</c:v>
                </c:pt>
                <c:pt idx="16">
                  <c:v>0.69019100627230323</c:v>
                </c:pt>
                <c:pt idx="17">
                  <c:v>0.80094279813851232</c:v>
                </c:pt>
                <c:pt idx="18">
                  <c:v>0.88062098434269864</c:v>
                </c:pt>
                <c:pt idx="19">
                  <c:v>0.93280609513146728</c:v>
                </c:pt>
                <c:pt idx="20">
                  <c:v>0.96429993275548087</c:v>
                </c:pt>
                <c:pt idx="21">
                  <c:v>0.98199559503033695</c:v>
                </c:pt>
                <c:pt idx="22">
                  <c:v>0.99133518213495087</c:v>
                </c:pt>
                <c:pt idx="23">
                  <c:v>0.99600109763583</c:v>
                </c:pt>
                <c:pt idx="24">
                  <c:v>0.99822225424854527</c:v>
                </c:pt>
                <c:pt idx="25">
                  <c:v>0.99923561618974355</c:v>
                </c:pt>
                <c:pt idx="26">
                  <c:v>0.99968094935052831</c:v>
                </c:pt>
                <c:pt idx="27">
                  <c:v>0.99987029761121116</c:v>
                </c:pt>
                <c:pt idx="28">
                  <c:v>0.99994849316434575</c:v>
                </c:pt>
                <c:pt idx="29">
                  <c:v>0.99997996602257766</c:v>
                </c:pt>
                <c:pt idx="30">
                  <c:v>0.99999234943304205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CA-4701-AF12-FADF0902F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495792"/>
        <c:axId val="595497760"/>
      </c:lineChart>
      <c:catAx>
        <c:axId val="595495792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5497760"/>
        <c:crosses val="autoZero"/>
        <c:auto val="1"/>
        <c:lblAlgn val="ctr"/>
        <c:lblOffset val="100"/>
        <c:noMultiLvlLbl val="0"/>
      </c:catAx>
      <c:valAx>
        <c:axId val="59549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549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CALL_GREEK_GRAPHS!$D$1</c:f>
              <c:strCache>
                <c:ptCount val="1"/>
                <c:pt idx="0">
                  <c:v>Call Gamma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CALL_GREEK_GRAPHS!$E$2:$E$32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CALL_GREEK_GRAPHS!$D$2:$D$32</c:f>
              <c:numCache>
                <c:formatCode>0.0000</c:formatCode>
                <c:ptCount val="31"/>
                <c:pt idx="0">
                  <c:v>1.6984620646394363E-24</c:v>
                </c:pt>
                <c:pt idx="1">
                  <c:v>6.7900072988530265E-19</c:v>
                </c:pt>
                <c:pt idx="2">
                  <c:v>8.6234979435261153E-15</c:v>
                </c:pt>
                <c:pt idx="3">
                  <c:v>1.0523350359634348E-11</c:v>
                </c:pt>
                <c:pt idx="4">
                  <c:v>2.4192172069650698E-9</c:v>
                </c:pt>
                <c:pt idx="5">
                  <c:v>1.6197504868325509E-7</c:v>
                </c:pt>
                <c:pt idx="6">
                  <c:v>4.2446864362029691E-6</c:v>
                </c:pt>
                <c:pt idx="7">
                  <c:v>5.3616734479100318E-5</c:v>
                </c:pt>
                <c:pt idx="8">
                  <c:v>3.7974629872622342E-4</c:v>
                </c:pt>
                <c:pt idx="9">
                  <c:v>1.6879194371976138E-3</c:v>
                </c:pt>
                <c:pt idx="10">
                  <c:v>5.1298664269865367E-3</c:v>
                </c:pt>
                <c:pt idx="11">
                  <c:v>1.1392228277620556E-2</c:v>
                </c:pt>
                <c:pt idx="12">
                  <c:v>1.9479275975825227E-2</c:v>
                </c:pt>
                <c:pt idx="13">
                  <c:v>2.6737821011496268E-2</c:v>
                </c:pt>
                <c:pt idx="14">
                  <c:v>3.04727524496008E-2</c:v>
                </c:pt>
                <c:pt idx="15">
                  <c:v>2.9640528807588884E-2</c:v>
                </c:pt>
                <c:pt idx="16">
                  <c:v>2.5171227064172616E-2</c:v>
                </c:pt>
                <c:pt idx="17">
                  <c:v>1.9017828156070476E-2</c:v>
                </c:pt>
                <c:pt idx="18">
                  <c:v>1.2987355250689765E-2</c:v>
                </c:pt>
                <c:pt idx="19">
                  <c:v>8.1241145618548925E-3</c:v>
                </c:pt>
                <c:pt idx="20">
                  <c:v>4.7080929381615655E-3</c:v>
                </c:pt>
                <c:pt idx="21">
                  <c:v>2.5522777442843676E-3</c:v>
                </c:pt>
                <c:pt idx="22">
                  <c:v>1.3050615228978671E-3</c:v>
                </c:pt>
                <c:pt idx="23">
                  <c:v>6.3396535474564834E-4</c:v>
                </c:pt>
                <c:pt idx="24">
                  <c:v>2.943933439320939E-4</c:v>
                </c:pt>
                <c:pt idx="25">
                  <c:v>1.3139078747524999E-4</c:v>
                </c:pt>
                <c:pt idx="26">
                  <c:v>5.6627343951562644E-5</c:v>
                </c:pt>
                <c:pt idx="27">
                  <c:v>2.3665129655343338E-5</c:v>
                </c:pt>
                <c:pt idx="28">
                  <c:v>9.6248423964958292E-6</c:v>
                </c:pt>
                <c:pt idx="29">
                  <c:v>3.8218610534821208E-6</c:v>
                </c:pt>
                <c:pt idx="30">
                  <c:v>1.4858892732593342E-6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2A-4C03-A0AA-B6B3C67F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513832"/>
        <c:axId val="595511208"/>
      </c:lineChart>
      <c:catAx>
        <c:axId val="595513832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5511208"/>
        <c:crosses val="autoZero"/>
        <c:auto val="1"/>
        <c:lblAlgn val="ctr"/>
        <c:lblOffset val="100"/>
        <c:noMultiLvlLbl val="0"/>
      </c:catAx>
      <c:valAx>
        <c:axId val="59551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551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CALL_GREEK_GRAPHS!$G$1</c:f>
              <c:strCache>
                <c:ptCount val="1"/>
                <c:pt idx="0">
                  <c:v>Call Theta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CALL_GREEK_GRAPHS!$H$2:$H$32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CALL_GREEK_GRAPHS!$G$2:$G$32</c:f>
              <c:numCache>
                <c:formatCode>0.0000</c:formatCode>
                <c:ptCount val="31"/>
                <c:pt idx="0">
                  <c:v>-9.1995583573675967E-26</c:v>
                </c:pt>
                <c:pt idx="1">
                  <c:v>-5.3054164861269627E-20</c:v>
                </c:pt>
                <c:pt idx="2">
                  <c:v>-9.1892989369544982E-16</c:v>
                </c:pt>
                <c:pt idx="3">
                  <c:v>-1.4679035640333189E-12</c:v>
                </c:pt>
                <c:pt idx="4">
                  <c:v>-4.2817153468714421E-10</c:v>
                </c:pt>
                <c:pt idx="5">
                  <c:v>-3.5495314351826108E-8</c:v>
                </c:pt>
                <c:pt idx="6">
                  <c:v>-1.1293742093145371E-6</c:v>
                </c:pt>
                <c:pt idx="7">
                  <c:v>-1.704659934030906E-5</c:v>
                </c:pt>
                <c:pt idx="8">
                  <c:v>-1.4239567740439294E-4</c:v>
                </c:pt>
                <c:pt idx="9">
                  <c:v>-7.3852587143320573E-4</c:v>
                </c:pt>
                <c:pt idx="10">
                  <c:v>-2.5963846873905323E-3</c:v>
                </c:pt>
                <c:pt idx="11">
                  <c:v>-6.6252105137505199E-3</c:v>
                </c:pt>
                <c:pt idx="12">
                  <c:v>-1.2955123243739309E-2</c:v>
                </c:pt>
                <c:pt idx="13">
                  <c:v>-2.0287430185451549E-2</c:v>
                </c:pt>
                <c:pt idx="14">
                  <c:v>-2.6392980384523285E-2</c:v>
                </c:pt>
                <c:pt idx="15">
                  <c:v>-2.9443098360428837E-2</c:v>
                </c:pt>
                <c:pt idx="16">
                  <c:v>-2.8988821263735781E-2</c:v>
                </c:pt>
                <c:pt idx="17">
                  <c:v>-2.5908355339264385E-2</c:v>
                </c:pt>
                <c:pt idx="18">
                  <c:v>-2.1647670498138497E-2</c:v>
                </c:pt>
                <c:pt idx="19">
                  <c:v>-1.7461559403030399E-2</c:v>
                </c:pt>
                <c:pt idx="20">
                  <c:v>-1.4060322511011232E-2</c:v>
                </c:pt>
                <c:pt idx="21">
                  <c:v>-1.1640047812187818E-2</c:v>
                </c:pt>
                <c:pt idx="22">
                  <c:v>-1.0084976298704173E-2</c:v>
                </c:pt>
                <c:pt idx="23">
                  <c:v>-9.1650740288923699E-3</c:v>
                </c:pt>
                <c:pt idx="24">
                  <c:v>-8.6571184856789746E-3</c:v>
                </c:pt>
                <c:pt idx="25">
                  <c:v>-8.3925501261142513E-3</c:v>
                </c:pt>
                <c:pt idx="26">
                  <c:v>-8.2614908753171953E-3</c:v>
                </c:pt>
                <c:pt idx="27">
                  <c:v>-8.1993264606387735E-3</c:v>
                </c:pt>
                <c:pt idx="28">
                  <c:v>-8.1709343181383468E-3</c:v>
                </c:pt>
                <c:pt idx="29">
                  <c:v>-8.1583884986329257E-3</c:v>
                </c:pt>
                <c:pt idx="30">
                  <c:v>-8.1530031954382288E-3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E8-4C3D-888A-66FA8AB2B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355496"/>
        <c:axId val="812349592"/>
      </c:lineChart>
      <c:catAx>
        <c:axId val="812355496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349592"/>
        <c:crosses val="autoZero"/>
        <c:auto val="1"/>
        <c:lblAlgn val="ctr"/>
        <c:lblOffset val="100"/>
        <c:noMultiLvlLbl val="0"/>
      </c:catAx>
      <c:valAx>
        <c:axId val="81234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35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CALL_GREEK_GRAPHS!$J$1</c:f>
              <c:strCache>
                <c:ptCount val="1"/>
                <c:pt idx="0">
                  <c:v>Call Vega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CALL_GREEK_GRAPHS!$K$2:$K$32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CALL_GREEK_GRAPHS!$J$2:$J$32</c:f>
              <c:numCache>
                <c:formatCode>0.0000</c:formatCode>
                <c:ptCount val="31"/>
                <c:pt idx="0">
                  <c:v>7.5616461781892725E-25</c:v>
                </c:pt>
                <c:pt idx="1">
                  <c:v>4.3530457751550915E-19</c:v>
                </c:pt>
                <c:pt idx="2">
                  <c:v>7.5248879315426517E-15</c:v>
                </c:pt>
                <c:pt idx="3">
                  <c:v>1.1993736300295588E-11</c:v>
                </c:pt>
                <c:pt idx="4">
                  <c:v>3.489637971142766E-9</c:v>
                </c:pt>
                <c:pt idx="5">
                  <c:v>2.8844871683319404E-7</c:v>
                </c:pt>
                <c:pt idx="6">
                  <c:v>9.1464270741743448E-6</c:v>
                </c:pt>
                <c:pt idx="7">
                  <c:v>1.3749387252722715E-4</c:v>
                </c:pt>
                <c:pt idx="8">
                  <c:v>1.1428802990431685E-3</c:v>
                </c:pt>
                <c:pt idx="9">
                  <c:v>5.8915325013418089E-3</c:v>
                </c:pt>
                <c:pt idx="10">
                  <c:v>2.055460177936386E-2</c:v>
                </c:pt>
                <c:pt idx="11">
                  <c:v>5.1936076312220844E-2</c:v>
                </c:pt>
                <c:pt idx="12">
                  <c:v>0.10025156142626764</c:v>
                </c:pt>
                <c:pt idx="13">
                  <c:v>0.15427356452112642</c:v>
                </c:pt>
                <c:pt idx="14">
                  <c:v>0.19590222910407751</c:v>
                </c:pt>
                <c:pt idx="15">
                  <c:v>0.21113801342392086</c:v>
                </c:pt>
                <c:pt idx="16">
                  <c:v>0.1976803352861666</c:v>
                </c:pt>
                <c:pt idx="17">
                  <c:v>0.16391804761369241</c:v>
                </c:pt>
                <c:pt idx="18">
                  <c:v>0.12234800282053908</c:v>
                </c:pt>
                <c:pt idx="19">
                  <c:v>8.3333383341328018E-2</c:v>
                </c:pt>
                <c:pt idx="20">
                  <c:v>5.240171934597633E-2</c:v>
                </c:pt>
                <c:pt idx="21">
                  <c:v>3.0725228516124688E-2</c:v>
                </c:pt>
                <c:pt idx="22">
                  <c:v>1.6942558976031627E-2</c:v>
                </c:pt>
                <c:pt idx="23">
                  <c:v>8.8511984870789703E-3</c:v>
                </c:pt>
                <c:pt idx="24">
                  <c:v>4.4090444235747716E-3</c:v>
                </c:pt>
                <c:pt idx="25">
                  <c:v>2.1058523472060613E-3</c:v>
                </c:pt>
                <c:pt idx="26">
                  <c:v>9.6910329861215347E-4</c:v>
                </c:pt>
                <c:pt idx="27">
                  <c:v>4.3154822735880899E-4</c:v>
                </c:pt>
                <c:pt idx="28">
                  <c:v>1.8665601891396086E-4</c:v>
                </c:pt>
                <c:pt idx="29">
                  <c:v>7.8677983440725088E-5</c:v>
                </c:pt>
                <c:pt idx="30">
                  <c:v>3.2414776269390278E-5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5-4403-BBBF-7A843E42E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0571496"/>
        <c:axId val="810576744"/>
      </c:lineChart>
      <c:catAx>
        <c:axId val="810571496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0576744"/>
        <c:crosses val="autoZero"/>
        <c:auto val="1"/>
        <c:lblAlgn val="ctr"/>
        <c:lblOffset val="100"/>
        <c:noMultiLvlLbl val="0"/>
      </c:catAx>
      <c:valAx>
        <c:axId val="81057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057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CALL_GREEK_GRAPHS!$M$1</c:f>
              <c:strCache>
                <c:ptCount val="1"/>
                <c:pt idx="0">
                  <c:v>Call Rho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CALL_GREEK_GRAPHS!$N$2:$N$32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CALL_GREEK_GRAPHS!$M$2:$M$32</c:f>
              <c:numCache>
                <c:formatCode>0.0000</c:formatCode>
                <c:ptCount val="31"/>
                <c:pt idx="0">
                  <c:v>3.8494322975237294E-26</c:v>
                </c:pt>
                <c:pt idx="1">
                  <c:v>2.5441975542725648E-20</c:v>
                </c:pt>
                <c:pt idx="2">
                  <c:v>5.0253660001455014E-16</c:v>
                </c:pt>
                <c:pt idx="3">
                  <c:v>9.1342230192343532E-13</c:v>
                </c:pt>
                <c:pt idx="4">
                  <c:v>3.0312165605947636E-10</c:v>
                </c:pt>
                <c:pt idx="5">
                  <c:v>2.8634577391663322E-8</c:v>
                </c:pt>
                <c:pt idx="6">
                  <c:v>1.0415264471775233E-6</c:v>
                </c:pt>
                <c:pt idx="7">
                  <c:v>1.8057641600600946E-5</c:v>
                </c:pt>
                <c:pt idx="8">
                  <c:v>1.7438223733908697E-4</c:v>
                </c:pt>
                <c:pt idx="9">
                  <c:v>1.0541781207602649E-3</c:v>
                </c:pt>
                <c:pt idx="10">
                  <c:v>4.3638284155223667E-3</c:v>
                </c:pt>
                <c:pt idx="11">
                  <c:v>1.3273646509097863E-2</c:v>
                </c:pt>
                <c:pt idx="12">
                  <c:v>3.1396099840180929E-2</c:v>
                </c:pt>
                <c:pt idx="13">
                  <c:v>6.0491060924293599E-2</c:v>
                </c:pt>
                <c:pt idx="14">
                  <c:v>9.8697365396484313E-2</c:v>
                </c:pt>
                <c:pt idx="15">
                  <c:v>0.14095235389519625</c:v>
                </c:pt>
                <c:pt idx="16">
                  <c:v>0.18127774011714637</c:v>
                </c:pt>
                <c:pt idx="17">
                  <c:v>0.21516445337078047</c:v>
                </c:pt>
                <c:pt idx="18">
                  <c:v>0.24066923218322189</c:v>
                </c:pt>
                <c:pt idx="19">
                  <c:v>0.25811162871618709</c:v>
                </c:pt>
                <c:pt idx="20">
                  <c:v>0.26908401644015467</c:v>
                </c:pt>
                <c:pt idx="21">
                  <c:v>0.27549987200532483</c:v>
                </c:pt>
                <c:pt idx="22">
                  <c:v>0.27901851595494626</c:v>
                </c:pt>
                <c:pt idx="23">
                  <c:v>0.2808425726387731</c:v>
                </c:pt>
                <c:pt idx="24">
                  <c:v>0.28174242240530956</c:v>
                </c:pt>
                <c:pt idx="25">
                  <c:v>0.28216735292526879</c:v>
                </c:pt>
                <c:pt idx="26">
                  <c:v>0.28236041993344552</c:v>
                </c:pt>
                <c:pt idx="27">
                  <c:v>0.28244519968814913</c:v>
                </c:pt>
                <c:pt idx="28">
                  <c:v>0.28248132294998785</c:v>
                </c:pt>
                <c:pt idx="29">
                  <c:v>0.28249630968827177</c:v>
                </c:pt>
                <c:pt idx="30">
                  <c:v>0.28250238254073617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F8-49FE-9965-3C7512FC2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2377472"/>
        <c:axId val="812376160"/>
      </c:lineChart>
      <c:catAx>
        <c:axId val="812377472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376160"/>
        <c:crosses val="autoZero"/>
        <c:auto val="1"/>
        <c:lblAlgn val="ctr"/>
        <c:lblOffset val="100"/>
        <c:noMultiLvlLbl val="0"/>
      </c:catAx>
      <c:valAx>
        <c:axId val="81237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37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PUT_GREEK_GRAPHS!$A$1</c:f>
              <c:strCache>
                <c:ptCount val="1"/>
                <c:pt idx="0">
                  <c:v>Put Delta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PUT_GREEK_GRAPHS!$B$2:$B$32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PUT_GREEK_GRAPHS!$A$2:$A$32</c:f>
              <c:numCache>
                <c:formatCode>0.0000</c:formatCode>
                <c:ptCount val="31"/>
                <c:pt idx="0">
                  <c:v>-1</c:v>
                </c:pt>
                <c:pt idx="1">
                  <c:v>-1</c:v>
                </c:pt>
                <c:pt idx="2">
                  <c:v>-0.99999999999999489</c:v>
                </c:pt>
                <c:pt idx="3">
                  <c:v>-0.99999999999183309</c:v>
                </c:pt>
                <c:pt idx="4">
                  <c:v>-0.999999997584749</c:v>
                </c:pt>
                <c:pt idx="5">
                  <c:v>-0.99999979405638573</c:v>
                </c:pt>
                <c:pt idx="6">
                  <c:v>-0.99999316715941233</c:v>
                </c:pt>
                <c:pt idx="7">
                  <c:v>-0.99989097798586579</c:v>
                </c:pt>
                <c:pt idx="8">
                  <c:v>-0.999023640728118</c:v>
                </c:pt>
                <c:pt idx="9">
                  <c:v>-0.99448893192588561</c:v>
                </c:pt>
                <c:pt idx="10">
                  <c:v>-0.97856591473788523</c:v>
                </c:pt>
                <c:pt idx="11">
                  <c:v>-0.93838626975080841</c:v>
                </c:pt>
                <c:pt idx="12">
                  <c:v>-0.86149733800364214</c:v>
                </c:pt>
                <c:pt idx="13">
                  <c:v>-0.74497174374475561</c:v>
                </c:pt>
                <c:pt idx="14">
                  <c:v>-0.60009471665793324</c:v>
                </c:pt>
                <c:pt idx="15">
                  <c:v>-0.44797526928404219</c:v>
                </c:pt>
                <c:pt idx="16">
                  <c:v>-0.30980899372769677</c:v>
                </c:pt>
                <c:pt idx="17">
                  <c:v>-0.19905720186148768</c:v>
                </c:pt>
                <c:pt idx="18">
                  <c:v>-0.11937901565730136</c:v>
                </c:pt>
                <c:pt idx="19">
                  <c:v>-6.7193904868532717E-2</c:v>
                </c:pt>
                <c:pt idx="20">
                  <c:v>-3.5700067244519129E-2</c:v>
                </c:pt>
                <c:pt idx="21">
                  <c:v>-1.8004404969663046E-2</c:v>
                </c:pt>
                <c:pt idx="22">
                  <c:v>-8.6648178650491348E-3</c:v>
                </c:pt>
                <c:pt idx="23">
                  <c:v>-3.9989023641699983E-3</c:v>
                </c:pt>
                <c:pt idx="24">
                  <c:v>-1.777745751454729E-3</c:v>
                </c:pt>
                <c:pt idx="25">
                  <c:v>-7.6438381025645263E-4</c:v>
                </c:pt>
                <c:pt idx="26">
                  <c:v>-3.1905064947168604E-4</c:v>
                </c:pt>
                <c:pt idx="27">
                  <c:v>-1.2970238878884377E-4</c:v>
                </c:pt>
                <c:pt idx="28">
                  <c:v>-5.1506835654246963E-5</c:v>
                </c:pt>
                <c:pt idx="29">
                  <c:v>-2.0033977422340143E-5</c:v>
                </c:pt>
                <c:pt idx="30">
                  <c:v>-7.650566957950744E-6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E-4627-92D8-5DFBEA0C9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456456"/>
        <c:axId val="480456784"/>
      </c:lineChart>
      <c:catAx>
        <c:axId val="480456456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456784"/>
        <c:crosses val="autoZero"/>
        <c:auto val="1"/>
        <c:lblAlgn val="ctr"/>
        <c:lblOffset val="100"/>
        <c:noMultiLvlLbl val="0"/>
      </c:catAx>
      <c:valAx>
        <c:axId val="48045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45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PUT_GREEK_GRAPHS!$D$1</c:f>
              <c:strCache>
                <c:ptCount val="1"/>
                <c:pt idx="0">
                  <c:v>Put Gamma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PUT_GREEK_GRAPHS!$E$2:$E$32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PUT_GREEK_GRAPHS!$D$2:$D$32</c:f>
              <c:numCache>
                <c:formatCode>0.0000</c:formatCode>
                <c:ptCount val="31"/>
                <c:pt idx="0">
                  <c:v>1.6984620646394363E-24</c:v>
                </c:pt>
                <c:pt idx="1">
                  <c:v>6.7900072988530265E-19</c:v>
                </c:pt>
                <c:pt idx="2">
                  <c:v>8.6234979435261153E-15</c:v>
                </c:pt>
                <c:pt idx="3">
                  <c:v>1.0523350359634348E-11</c:v>
                </c:pt>
                <c:pt idx="4">
                  <c:v>2.4192172069650698E-9</c:v>
                </c:pt>
                <c:pt idx="5">
                  <c:v>1.6197504868325509E-7</c:v>
                </c:pt>
                <c:pt idx="6">
                  <c:v>4.2446864362029691E-6</c:v>
                </c:pt>
                <c:pt idx="7">
                  <c:v>5.3616734479100318E-5</c:v>
                </c:pt>
                <c:pt idx="8">
                  <c:v>3.7974629872622342E-4</c:v>
                </c:pt>
                <c:pt idx="9">
                  <c:v>1.6879194371976138E-3</c:v>
                </c:pt>
                <c:pt idx="10">
                  <c:v>5.1298664269865367E-3</c:v>
                </c:pt>
                <c:pt idx="11">
                  <c:v>1.1392228277620556E-2</c:v>
                </c:pt>
                <c:pt idx="12">
                  <c:v>1.9479275975825227E-2</c:v>
                </c:pt>
                <c:pt idx="13">
                  <c:v>2.6737821011496268E-2</c:v>
                </c:pt>
                <c:pt idx="14">
                  <c:v>3.04727524496008E-2</c:v>
                </c:pt>
                <c:pt idx="15">
                  <c:v>2.9640528807588884E-2</c:v>
                </c:pt>
                <c:pt idx="16">
                  <c:v>2.5171227064172616E-2</c:v>
                </c:pt>
                <c:pt idx="17">
                  <c:v>1.9017828156070476E-2</c:v>
                </c:pt>
                <c:pt idx="18">
                  <c:v>1.2987355250689765E-2</c:v>
                </c:pt>
                <c:pt idx="19">
                  <c:v>8.1241145618548925E-3</c:v>
                </c:pt>
                <c:pt idx="20">
                  <c:v>4.7080929381615655E-3</c:v>
                </c:pt>
                <c:pt idx="21">
                  <c:v>2.5522777442843676E-3</c:v>
                </c:pt>
                <c:pt idx="22">
                  <c:v>1.3050615228978671E-3</c:v>
                </c:pt>
                <c:pt idx="23">
                  <c:v>6.3396535474564834E-4</c:v>
                </c:pt>
                <c:pt idx="24">
                  <c:v>2.943933439320939E-4</c:v>
                </c:pt>
                <c:pt idx="25">
                  <c:v>1.3139078747524999E-4</c:v>
                </c:pt>
                <c:pt idx="26">
                  <c:v>5.6627343951562644E-5</c:v>
                </c:pt>
                <c:pt idx="27">
                  <c:v>2.3665129655343338E-5</c:v>
                </c:pt>
                <c:pt idx="28">
                  <c:v>9.6248423964958292E-6</c:v>
                </c:pt>
                <c:pt idx="29">
                  <c:v>3.8218610534821208E-6</c:v>
                </c:pt>
                <c:pt idx="30">
                  <c:v>1.4858892732593342E-6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C8-4B6F-B4AD-204387911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8752792"/>
        <c:axId val="808743280"/>
      </c:lineChart>
      <c:catAx>
        <c:axId val="808752792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743280"/>
        <c:crosses val="autoZero"/>
        <c:auto val="1"/>
        <c:lblAlgn val="ctr"/>
        <c:lblOffset val="100"/>
        <c:noMultiLvlLbl val="0"/>
      </c:catAx>
      <c:valAx>
        <c:axId val="80874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752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PUT_GREEK_GRAPHS!$G$1</c:f>
              <c:strCache>
                <c:ptCount val="1"/>
                <c:pt idx="0">
                  <c:v>Put Theta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PUT_GREEK_GRAPHS!$H$2:$H$32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PUT_GREEK_GRAPHS!$G$2:$G$32</c:f>
              <c:numCache>
                <c:formatCode>0.0000</c:formatCode>
                <c:ptCount val="31"/>
                <c:pt idx="0">
                  <c:v>8.149220421404672E-3</c:v>
                </c:pt>
                <c:pt idx="1">
                  <c:v>8.149220421404672E-3</c:v>
                </c:pt>
                <c:pt idx="2">
                  <c:v>8.1492204214037526E-3</c:v>
                </c:pt>
                <c:pt idx="3">
                  <c:v>8.1492204199367681E-3</c:v>
                </c:pt>
                <c:pt idx="4">
                  <c:v>8.1492199932331373E-3</c:v>
                </c:pt>
                <c:pt idx="5">
                  <c:v>8.1491849260903193E-3</c:v>
                </c:pt>
                <c:pt idx="6">
                  <c:v>8.1480910471953567E-3</c:v>
                </c:pt>
                <c:pt idx="7">
                  <c:v>8.1321738220643622E-3</c:v>
                </c:pt>
                <c:pt idx="8">
                  <c:v>8.006824744000279E-3</c:v>
                </c:pt>
                <c:pt idx="9">
                  <c:v>7.4106945499714657E-3</c:v>
                </c:pt>
                <c:pt idx="10">
                  <c:v>5.5528357340141402E-3</c:v>
                </c:pt>
                <c:pt idx="11">
                  <c:v>1.5240099076541515E-3</c:v>
                </c:pt>
                <c:pt idx="12">
                  <c:v>-4.8059028223346369E-3</c:v>
                </c:pt>
                <c:pt idx="13">
                  <c:v>-1.2138209764046877E-2</c:v>
                </c:pt>
                <c:pt idx="14">
                  <c:v>-1.8243759963118614E-2</c:v>
                </c:pt>
                <c:pt idx="15">
                  <c:v>-2.1293877939024163E-2</c:v>
                </c:pt>
                <c:pt idx="16">
                  <c:v>-2.0839600842331111E-2</c:v>
                </c:pt>
                <c:pt idx="17">
                  <c:v>-1.7759134917859715E-2</c:v>
                </c:pt>
                <c:pt idx="18">
                  <c:v>-1.3498450076733825E-2</c:v>
                </c:pt>
                <c:pt idx="19">
                  <c:v>-9.3123389816257267E-3</c:v>
                </c:pt>
                <c:pt idx="20">
                  <c:v>-5.9111020896065597E-3</c:v>
                </c:pt>
                <c:pt idx="21">
                  <c:v>-3.4908273907831456E-3</c:v>
                </c:pt>
                <c:pt idx="22">
                  <c:v>-1.9357558772995014E-3</c:v>
                </c:pt>
                <c:pt idx="23">
                  <c:v>-1.0158536074876983E-3</c:v>
                </c:pt>
                <c:pt idx="24">
                  <c:v>-5.0789806427430214E-4</c:v>
                </c:pt>
                <c:pt idx="25">
                  <c:v>-2.4332970470957981E-4</c:v>
                </c:pt>
                <c:pt idx="26">
                  <c:v>-1.1227045391252455E-4</c:v>
                </c:pt>
                <c:pt idx="27">
                  <c:v>-5.0106039234101385E-5</c:v>
                </c:pt>
                <c:pt idx="28">
                  <c:v>-2.1713896733673892E-5</c:v>
                </c:pt>
                <c:pt idx="29">
                  <c:v>-9.1680772282547404E-6</c:v>
                </c:pt>
                <c:pt idx="30">
                  <c:v>-3.782774033557668E-6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28-49BB-B4E9-DFBF8A5D4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8565728"/>
        <c:axId val="678569008"/>
      </c:lineChart>
      <c:catAx>
        <c:axId val="678565728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8569008"/>
        <c:crosses val="autoZero"/>
        <c:auto val="1"/>
        <c:lblAlgn val="ctr"/>
        <c:lblOffset val="100"/>
        <c:noMultiLvlLbl val="0"/>
      </c:catAx>
      <c:valAx>
        <c:axId val="67856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856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PUT_GREEK_GRAPHS!$J$1</c:f>
              <c:strCache>
                <c:ptCount val="1"/>
                <c:pt idx="0">
                  <c:v>Put Vega / Spot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PUT_GREEK_GRAPHS!$K$2:$K$32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PUT_GREEK_GRAPHS!$J$2:$J$32</c:f>
              <c:numCache>
                <c:formatCode>0.0000</c:formatCode>
                <c:ptCount val="31"/>
                <c:pt idx="0">
                  <c:v>7.5616461781892725E-25</c:v>
                </c:pt>
                <c:pt idx="1">
                  <c:v>4.3530457751550915E-19</c:v>
                </c:pt>
                <c:pt idx="2">
                  <c:v>7.5248879315426517E-15</c:v>
                </c:pt>
                <c:pt idx="3">
                  <c:v>1.1993736300295588E-11</c:v>
                </c:pt>
                <c:pt idx="4">
                  <c:v>3.489637971142766E-9</c:v>
                </c:pt>
                <c:pt idx="5">
                  <c:v>2.8844871683319404E-7</c:v>
                </c:pt>
                <c:pt idx="6">
                  <c:v>9.1464270741743448E-6</c:v>
                </c:pt>
                <c:pt idx="7">
                  <c:v>1.3749387252722715E-4</c:v>
                </c:pt>
                <c:pt idx="8">
                  <c:v>1.1428802990431685E-3</c:v>
                </c:pt>
                <c:pt idx="9">
                  <c:v>5.8915325013418089E-3</c:v>
                </c:pt>
                <c:pt idx="10">
                  <c:v>2.055460177936386E-2</c:v>
                </c:pt>
                <c:pt idx="11">
                  <c:v>5.1936076312220844E-2</c:v>
                </c:pt>
                <c:pt idx="12">
                  <c:v>0.10025156142626764</c:v>
                </c:pt>
                <c:pt idx="13">
                  <c:v>0.15427356452112642</c:v>
                </c:pt>
                <c:pt idx="14">
                  <c:v>0.19590222910407751</c:v>
                </c:pt>
                <c:pt idx="15">
                  <c:v>0.21113801342392086</c:v>
                </c:pt>
                <c:pt idx="16">
                  <c:v>0.1976803352861666</c:v>
                </c:pt>
                <c:pt idx="17">
                  <c:v>0.16391804761369241</c:v>
                </c:pt>
                <c:pt idx="18">
                  <c:v>0.12234800282053908</c:v>
                </c:pt>
                <c:pt idx="19">
                  <c:v>8.3333383341328018E-2</c:v>
                </c:pt>
                <c:pt idx="20">
                  <c:v>5.240171934597633E-2</c:v>
                </c:pt>
                <c:pt idx="21">
                  <c:v>3.0725228516124688E-2</c:v>
                </c:pt>
                <c:pt idx="22">
                  <c:v>1.6942558976031627E-2</c:v>
                </c:pt>
                <c:pt idx="23">
                  <c:v>8.8511984870789703E-3</c:v>
                </c:pt>
                <c:pt idx="24">
                  <c:v>4.4090444235747716E-3</c:v>
                </c:pt>
                <c:pt idx="25">
                  <c:v>2.1058523472060613E-3</c:v>
                </c:pt>
                <c:pt idx="26">
                  <c:v>9.6910329861215347E-4</c:v>
                </c:pt>
                <c:pt idx="27">
                  <c:v>4.3154822735880899E-4</c:v>
                </c:pt>
                <c:pt idx="28">
                  <c:v>1.8665601891396086E-4</c:v>
                </c:pt>
                <c:pt idx="29">
                  <c:v>7.8677983440725088E-5</c:v>
                </c:pt>
                <c:pt idx="30">
                  <c:v>3.2414776269390278E-5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83-4802-8D3B-BE3C5999A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9644952"/>
        <c:axId val="889648560"/>
      </c:lineChart>
      <c:catAx>
        <c:axId val="889644952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9648560"/>
        <c:crosses val="autoZero"/>
        <c:auto val="1"/>
        <c:lblAlgn val="ctr"/>
        <c:lblOffset val="100"/>
        <c:noMultiLvlLbl val="0"/>
      </c:catAx>
      <c:valAx>
        <c:axId val="8896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9644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PUT_GREEK_GRAPHS!$M$1</c:f>
              <c:strCache>
                <c:ptCount val="1"/>
                <c:pt idx="0">
                  <c:v>Rho / Strike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PUT_GREEK_GRAPHS!$N$2:$N$32</c:f>
              <c:numCache>
                <c:formatCode>_-[$€-2]\ * #,##0.00_-;\-[$€-2]\ * #,##0.00_-;_-[$€-2]\ * "-"??_-;_-@_-</c:formatCode>
                <c:ptCount val="31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75</c:v>
                </c:pt>
                <c:pt idx="11">
                  <c:v>80</c:v>
                </c:pt>
                <c:pt idx="12">
                  <c:v>85</c:v>
                </c:pt>
                <c:pt idx="13">
                  <c:v>90</c:v>
                </c:pt>
                <c:pt idx="14">
                  <c:v>95</c:v>
                </c:pt>
                <c:pt idx="15">
                  <c:v>100</c:v>
                </c:pt>
                <c:pt idx="16">
                  <c:v>105</c:v>
                </c:pt>
                <c:pt idx="17">
                  <c:v>110</c:v>
                </c:pt>
                <c:pt idx="18">
                  <c:v>115</c:v>
                </c:pt>
                <c:pt idx="19">
                  <c:v>120</c:v>
                </c:pt>
                <c:pt idx="20">
                  <c:v>125</c:v>
                </c:pt>
                <c:pt idx="21">
                  <c:v>130</c:v>
                </c:pt>
                <c:pt idx="22">
                  <c:v>135</c:v>
                </c:pt>
                <c:pt idx="23">
                  <c:v>140</c:v>
                </c:pt>
                <c:pt idx="24">
                  <c:v>145</c:v>
                </c:pt>
                <c:pt idx="25">
                  <c:v>150</c:v>
                </c:pt>
                <c:pt idx="26">
                  <c:v>155</c:v>
                </c:pt>
                <c:pt idx="27">
                  <c:v>160</c:v>
                </c:pt>
                <c:pt idx="28">
                  <c:v>165</c:v>
                </c:pt>
                <c:pt idx="29">
                  <c:v>170</c:v>
                </c:pt>
                <c:pt idx="30">
                  <c:v>175</c:v>
                </c:pt>
              </c:numCache>
            </c:numRef>
          </c:cat>
          <c:val>
            <c:numRef>
              <c:f>PUT_GREEK_GRAPHS!$M$2:$M$32</c:f>
              <c:numCache>
                <c:formatCode>0.0000</c:formatCode>
                <c:ptCount val="31"/>
                <c:pt idx="0">
                  <c:v>-0.28250630794202863</c:v>
                </c:pt>
                <c:pt idx="1">
                  <c:v>-0.28250630794202863</c:v>
                </c:pt>
                <c:pt idx="2">
                  <c:v>-0.28250630794202813</c:v>
                </c:pt>
                <c:pt idx="3">
                  <c:v>-0.2825063079411152</c:v>
                </c:pt>
                <c:pt idx="4">
                  <c:v>-0.28250630763890699</c:v>
                </c:pt>
                <c:pt idx="5">
                  <c:v>-0.28250627930745126</c:v>
                </c:pt>
                <c:pt idx="6">
                  <c:v>-0.28250526641558144</c:v>
                </c:pt>
                <c:pt idx="7">
                  <c:v>-0.28248825030042801</c:v>
                </c:pt>
                <c:pt idx="8">
                  <c:v>-0.28233192570468957</c:v>
                </c:pt>
                <c:pt idx="9">
                  <c:v>-0.28145212982126838</c:v>
                </c:pt>
                <c:pt idx="10">
                  <c:v>-0.27814247952650628</c:v>
                </c:pt>
                <c:pt idx="11">
                  <c:v>-0.26923266143293079</c:v>
                </c:pt>
                <c:pt idx="12">
                  <c:v>-0.2511102081018477</c:v>
                </c:pt>
                <c:pt idx="13">
                  <c:v>-0.22201524701773503</c:v>
                </c:pt>
                <c:pt idx="14">
                  <c:v>-0.18380894254554433</c:v>
                </c:pt>
                <c:pt idx="15">
                  <c:v>-0.14155395404683238</c:v>
                </c:pt>
                <c:pt idx="16">
                  <c:v>-0.10122856782488227</c:v>
                </c:pt>
                <c:pt idx="17">
                  <c:v>-6.7341854571248166E-2</c:v>
                </c:pt>
                <c:pt idx="18">
                  <c:v>-4.1837075758806741E-2</c:v>
                </c:pt>
                <c:pt idx="19">
                  <c:v>-2.4394679225841539E-2</c:v>
                </c:pt>
                <c:pt idx="20">
                  <c:v>-1.3422291501873941E-2</c:v>
                </c:pt>
                <c:pt idx="21">
                  <c:v>-7.0064359367038326E-3</c:v>
                </c:pt>
                <c:pt idx="22">
                  <c:v>-3.4877919870823912E-3</c:v>
                </c:pt>
                <c:pt idx="23">
                  <c:v>-1.6637353032555005E-3</c:v>
                </c:pt>
                <c:pt idx="24">
                  <c:v>-7.6388553671907387E-4</c:v>
                </c:pt>
                <c:pt idx="25">
                  <c:v>-3.3895501675982204E-4</c:v>
                </c:pt>
                <c:pt idx="26">
                  <c:v>-1.4588800858312141E-4</c:v>
                </c:pt>
                <c:pt idx="27">
                  <c:v>-6.1108253879522845E-5</c:v>
                </c:pt>
                <c:pt idx="28">
                  <c:v>-2.498499204080877E-5</c:v>
                </c:pt>
                <c:pt idx="29">
                  <c:v>-9.9982537568568306E-6</c:v>
                </c:pt>
                <c:pt idx="30">
                  <c:v>-3.9254012924603088E-6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58-4B35-BA91-53E115DBE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682880"/>
        <c:axId val="906675992"/>
      </c:lineChart>
      <c:catAx>
        <c:axId val="906682880"/>
        <c:scaling>
          <c:orientation val="minMax"/>
        </c:scaling>
        <c:delete val="0"/>
        <c:axPos val="b"/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675992"/>
        <c:crosses val="autoZero"/>
        <c:auto val="1"/>
        <c:lblAlgn val="ctr"/>
        <c:lblOffset val="100"/>
        <c:noMultiLvlLbl val="0"/>
      </c:catAx>
      <c:valAx>
        <c:axId val="90667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68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0" dropStyle="combo" dx="39" fmlaLink="$V$1" fmlaRange="$AD$2:$AD$11" noThreeD="1" sel="1" val="0"/>
</file>

<file path=xl/ctrlProps/ctrlProp3.xml><?xml version="1.0" encoding="utf-8"?>
<formControlPr xmlns="http://schemas.microsoft.com/office/spreadsheetml/2009/9/main" objectType="Drop" dropStyle="combo" dx="39" fmlaLink="R1" fmlaRange="$AC$2:$AC$6" noThreeD="1" sel="1" val="0"/>
</file>

<file path=xl/ctrlProps/ctrlProp4.xml><?xml version="1.0" encoding="utf-8"?>
<formControlPr xmlns="http://schemas.microsoft.com/office/spreadsheetml/2009/9/main" objectType="Drop" dropLines="12" dropStyle="combo" dx="39" fmlaLink="$Q$1" fmlaRange="$AA$2:$AA$13" noThreeD="1" sel="6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472965</xdr:colOff>
          <xdr:row>4</xdr:row>
          <xdr:rowOff>0</xdr:rowOff>
        </xdr:from>
        <xdr:to>
          <xdr:col>15</xdr:col>
          <xdr:colOff>0</xdr:colOff>
          <xdr:row>18</xdr:row>
          <xdr:rowOff>0</xdr:rowOff>
        </xdr:to>
        <xdr:pic>
          <xdr:nvPicPr>
            <xdr:cNvPr id="18" name="Imag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l_graph_selection" spid="_x0000_s10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4882" y="804333"/>
              <a:ext cx="8671035" cy="281516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4763</xdr:colOff>
          <xdr:row>33</xdr:row>
          <xdr:rowOff>0</xdr:rowOff>
        </xdr:from>
        <xdr:to>
          <xdr:col>2</xdr:col>
          <xdr:colOff>0</xdr:colOff>
          <xdr:row>34</xdr:row>
          <xdr:rowOff>162983</xdr:rowOff>
        </xdr:to>
        <xdr:sp macro="" textlink="">
          <xdr:nvSpPr>
            <xdr:cNvPr id="1061" name="Bou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104775</xdr:rowOff>
        </xdr:from>
        <xdr:to>
          <xdr:col>2</xdr:col>
          <xdr:colOff>552450</xdr:colOff>
          <xdr:row>22</xdr:row>
          <xdr:rowOff>52388</xdr:rowOff>
        </xdr:to>
        <xdr:sp macro="" textlink="">
          <xdr:nvSpPr>
            <xdr:cNvPr id="1074" name="Zone combinée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193B144D-E21A-4581-966B-AC89E92E4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75" name="Zone combinée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29D95F45-3AEC-44B7-B0B1-5AD7296D0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4233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77" name="Zone combinée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88BB60E-D341-48E6-BC50-5ADBEBED2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472965</xdr:colOff>
          <xdr:row>19</xdr:row>
          <xdr:rowOff>0</xdr:rowOff>
        </xdr:from>
        <xdr:to>
          <xdr:col>15</xdr:col>
          <xdr:colOff>0</xdr:colOff>
          <xdr:row>33</xdr:row>
          <xdr:rowOff>0</xdr:rowOff>
        </xdr:to>
        <xdr:pic>
          <xdr:nvPicPr>
            <xdr:cNvPr id="11" name="Image 10">
              <a:extLst>
                <a:ext uri="{FF2B5EF4-FFF2-40B4-BE49-F238E27FC236}">
                  <a16:creationId xmlns:a16="http://schemas.microsoft.com/office/drawing/2014/main" id="{EA04E2C6-E7BD-43BC-AEB4-0E03F703030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ut_graph_selection" spid="_x0000_s109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954882" y="3820583"/>
              <a:ext cx="8671035" cy="281516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50</xdr:row>
      <xdr:rowOff>0</xdr:rowOff>
    </xdr:from>
    <xdr:to>
      <xdr:col>12</xdr:col>
      <xdr:colOff>0</xdr:colOff>
      <xdr:row>65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180974</xdr:rowOff>
    </xdr:from>
    <xdr:to>
      <xdr:col>12</xdr:col>
      <xdr:colOff>0</xdr:colOff>
      <xdr:row>80</xdr:row>
      <xdr:rowOff>180974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180974</xdr:rowOff>
    </xdr:from>
    <xdr:to>
      <xdr:col>12</xdr:col>
      <xdr:colOff>0</xdr:colOff>
      <xdr:row>96</xdr:row>
      <xdr:rowOff>180974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97</xdr:row>
      <xdr:rowOff>180974</xdr:rowOff>
    </xdr:from>
    <xdr:to>
      <xdr:col>12</xdr:col>
      <xdr:colOff>0</xdr:colOff>
      <xdr:row>112</xdr:row>
      <xdr:rowOff>180974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12</xdr:col>
      <xdr:colOff>0</xdr:colOff>
      <xdr:row>49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723C520C-B92F-4D87-B1DD-475A7938E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48</xdr:row>
      <xdr:rowOff>180974</xdr:rowOff>
    </xdr:from>
    <xdr:to>
      <xdr:col>12</xdr:col>
      <xdr:colOff>0</xdr:colOff>
      <xdr:row>63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64</xdr:row>
      <xdr:rowOff>180974</xdr:rowOff>
    </xdr:from>
    <xdr:to>
      <xdr:col>12</xdr:col>
      <xdr:colOff>0</xdr:colOff>
      <xdr:row>79</xdr:row>
      <xdr:rowOff>180974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80</xdr:row>
      <xdr:rowOff>180974</xdr:rowOff>
    </xdr:from>
    <xdr:to>
      <xdr:col>12</xdr:col>
      <xdr:colOff>0</xdr:colOff>
      <xdr:row>95</xdr:row>
      <xdr:rowOff>180974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96</xdr:row>
      <xdr:rowOff>180974</xdr:rowOff>
    </xdr:from>
    <xdr:to>
      <xdr:col>12</xdr:col>
      <xdr:colOff>0</xdr:colOff>
      <xdr:row>111</xdr:row>
      <xdr:rowOff>180974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12</xdr:col>
      <xdr:colOff>0</xdr:colOff>
      <xdr:row>48</xdr:row>
      <xdr:rowOff>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C8C426B-605C-4F07-955C-657241667B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12</xdr:col>
      <xdr:colOff>0</xdr:colOff>
      <xdr:row>48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12</xdr:col>
      <xdr:colOff>0</xdr:colOff>
      <xdr:row>64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12</xdr:col>
      <xdr:colOff>0</xdr:colOff>
      <xdr:row>80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12</xdr:col>
      <xdr:colOff>0</xdr:colOff>
      <xdr:row>96</xdr:row>
      <xdr:rowOff>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12</xdr:col>
      <xdr:colOff>0</xdr:colOff>
      <xdr:row>48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E8ED3E8-A3A6-49A7-A326-FE9DA0E278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12</xdr:col>
      <xdr:colOff>0</xdr:colOff>
      <xdr:row>64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0B48026-AF14-4746-B6CA-EE96E3F69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12</xdr:col>
      <xdr:colOff>0</xdr:colOff>
      <xdr:row>80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89A610F-F5B0-4800-BFF6-EC68D7066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12</xdr:col>
      <xdr:colOff>0</xdr:colOff>
      <xdr:row>96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F9E8AED-B765-4509-A861-30477B859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97</xdr:row>
      <xdr:rowOff>0</xdr:rowOff>
    </xdr:from>
    <xdr:to>
      <xdr:col>12</xdr:col>
      <xdr:colOff>0</xdr:colOff>
      <xdr:row>112</xdr:row>
      <xdr:rowOff>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4FEDD1A4-C8D4-4D9B-817F-7A81D209BA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7EB4BA-3748-41CD-AE5E-F5238127784E}" name="Tableau2" displayName="Tableau2" ref="AD1:AD12" totalsRowShown="0" headerRowDxfId="8" dataDxfId="7">
  <autoFilter ref="AD1:AD12" xr:uid="{D83D1B1D-4B2C-4A4A-BAF9-353E921E8EA7}"/>
  <tableColumns count="1">
    <tableColumn id="6" xr3:uid="{5869244A-904E-4F9A-8442-451D99E79884}" name="Graph list choiceList" dataDxfId="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309AB-8C20-41CC-B627-7D3682879C35}" name="Tableau1" displayName="Tableau1" ref="AC1:AC6" totalsRowShown="0" headerRowDxfId="6" dataDxfId="5">
  <autoFilter ref="AC1:AC6" xr:uid="{082E9161-7998-4BBC-8663-A6C3FC464656}"/>
  <tableColumns count="1">
    <tableColumn id="1" xr3:uid="{EE1ABBBC-F3B3-4F25-BCC2-CB72C5CB2A3A}" name="Year list" dataDxfId="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F3317A-0C8F-41CB-B53E-27037571DADA}" name="Tableau3" displayName="Tableau3" ref="AB1:AB6" totalsRowShown="0" headerRowDxfId="0" dataDxfId="1">
  <autoFilter ref="AB1:AB6" xr:uid="{434D11B4-4F97-4AD3-A48E-8C4AEDC5D729}"/>
  <tableColumns count="1">
    <tableColumn id="1" xr3:uid="{3A3F3CDE-535A-4DE8-B312-80DF62E10CFB}" name="Year output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B6BC4-9082-4B70-8836-916306B726DC}">
  <sheetPr codeName="Feuil1"/>
  <dimension ref="A1:AD32"/>
  <sheetViews>
    <sheetView tabSelected="1" zoomScale="90" zoomScaleNormal="90" workbookViewId="0">
      <selection activeCell="C11" sqref="C11"/>
    </sheetView>
  </sheetViews>
  <sheetFormatPr baseColWidth="10" defaultRowHeight="15.75" x14ac:dyDescent="0.5"/>
  <cols>
    <col min="1" max="1" width="10.6640625" style="2"/>
    <col min="2" max="2" width="24.73046875" style="2" customWidth="1"/>
    <col min="3" max="3" width="13.33203125" style="2" customWidth="1"/>
    <col min="4" max="5" width="10.6640625" style="2"/>
    <col min="6" max="6" width="10.6640625" style="2" customWidth="1"/>
    <col min="7" max="7" width="10.6640625" style="2"/>
    <col min="8" max="10" width="10.6640625" style="2" customWidth="1"/>
    <col min="11" max="11" width="10.6640625" style="2"/>
    <col min="12" max="12" width="10.6640625" style="2" customWidth="1"/>
    <col min="13" max="24" width="10.6640625" style="2"/>
    <col min="25" max="25" width="12.86328125" style="2" customWidth="1"/>
    <col min="26" max="26" width="10.6640625" style="2"/>
    <col min="27" max="27" width="10.73046875" style="2" customWidth="1"/>
    <col min="28" max="16384" width="10.6640625" style="2"/>
  </cols>
  <sheetData>
    <row r="1" spans="1:30" x14ac:dyDescent="0.5">
      <c r="A1" s="1" t="s">
        <v>0</v>
      </c>
      <c r="F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Q1" s="2">
        <v>6</v>
      </c>
      <c r="R1" s="2">
        <v>1</v>
      </c>
      <c r="V1" s="2">
        <v>1</v>
      </c>
      <c r="W1" s="2">
        <v>0</v>
      </c>
      <c r="AA1" s="20" t="s">
        <v>16</v>
      </c>
      <c r="AB1" s="2" t="s">
        <v>31</v>
      </c>
      <c r="AC1" s="2" t="s">
        <v>17</v>
      </c>
      <c r="AD1" s="2" t="s">
        <v>32</v>
      </c>
    </row>
    <row r="2" spans="1:30" x14ac:dyDescent="0.5">
      <c r="B2" s="2" t="s">
        <v>75</v>
      </c>
      <c r="C2" s="17">
        <v>100</v>
      </c>
      <c r="E2" s="1" t="s">
        <v>11</v>
      </c>
      <c r="F2" s="22">
        <f ca="1">BSMcall(spot,strike,vol,rate,q,time)</f>
        <v>5.7336180987624843</v>
      </c>
      <c r="H2" s="3">
        <f ca="1">BSMdeltacall(spot,strike,vol,rate,q,time)</f>
        <v>0.55202473071595781</v>
      </c>
      <c r="I2" s="3">
        <f ca="1">BSMgamma(spot,strike,vol,rate,q,time)</f>
        <v>2.9640528807588884E-2</v>
      </c>
      <c r="J2" s="3">
        <f ca="1">BSMthetacall(spot,strike,vol,rate,q,time)</f>
        <v>-2.9443098360428837E-2</v>
      </c>
      <c r="K2" s="3">
        <f ca="1">BSMvega(spot,strike,vol,rate,q,time)</f>
        <v>0.21113801342392086</v>
      </c>
      <c r="L2" s="3">
        <f ca="1">BSMrhocall(spot,strike,vol,rate,q,time)</f>
        <v>0.14095235389519625</v>
      </c>
      <c r="Q2" s="2" t="s">
        <v>79</v>
      </c>
      <c r="R2" s="2" t="s">
        <v>80</v>
      </c>
      <c r="AA2" s="2" t="s">
        <v>33</v>
      </c>
      <c r="AB2" s="2">
        <v>1</v>
      </c>
      <c r="AC2" s="2">
        <v>2018</v>
      </c>
      <c r="AD2" s="10" t="s">
        <v>29</v>
      </c>
    </row>
    <row r="3" spans="1:30" x14ac:dyDescent="0.5">
      <c r="B3" s="2" t="s">
        <v>74</v>
      </c>
      <c r="C3" s="17">
        <v>100</v>
      </c>
      <c r="E3" s="1" t="s">
        <v>12</v>
      </c>
      <c r="F3" s="22">
        <f ca="1">BSMPut(spot,strike,vol,rate,q,time)</f>
        <v>4.8824665591859855</v>
      </c>
      <c r="H3" s="3">
        <f ca="1">BSMdeltaput(spot,strike,vol,rate,q,time)</f>
        <v>-0.44797526928404219</v>
      </c>
      <c r="I3" s="3">
        <f ca="1">BSMgamma(spot,strike,vol,rate,q,time)</f>
        <v>2.9640528807588884E-2</v>
      </c>
      <c r="J3" s="3">
        <f ca="1">BSMthetaput(spot,strike,vol,rate,q,time)</f>
        <v>-2.1293877939024163E-2</v>
      </c>
      <c r="K3" s="3">
        <f ca="1">BSMvega(spot,strike,vol,rate,q,time)</f>
        <v>0.21113801342392086</v>
      </c>
      <c r="L3" s="3">
        <f ca="1">BSMrhoput(spot,strike,vol,rate,q,time)</f>
        <v>-0.14155395404683238</v>
      </c>
      <c r="AA3" s="2" t="s">
        <v>34</v>
      </c>
      <c r="AB3" s="2">
        <v>2</v>
      </c>
      <c r="AC3" s="2">
        <v>2019</v>
      </c>
      <c r="AD3" s="10" t="s">
        <v>46</v>
      </c>
    </row>
    <row r="4" spans="1:30" x14ac:dyDescent="0.5">
      <c r="B4" s="2" t="s">
        <v>73</v>
      </c>
      <c r="C4" s="16">
        <v>0.25</v>
      </c>
      <c r="AA4" s="2" t="s">
        <v>35</v>
      </c>
      <c r="AB4" s="2">
        <v>3</v>
      </c>
      <c r="AC4" s="2">
        <v>2020</v>
      </c>
      <c r="AD4" s="10" t="s">
        <v>47</v>
      </c>
    </row>
    <row r="5" spans="1:30" x14ac:dyDescent="0.5">
      <c r="B5" s="2" t="s">
        <v>15</v>
      </c>
      <c r="C5" s="16">
        <v>0.03</v>
      </c>
      <c r="E5" s="1"/>
      <c r="AA5" s="2" t="s">
        <v>36</v>
      </c>
      <c r="AB5" s="2">
        <v>4</v>
      </c>
      <c r="AC5" s="2">
        <v>2021</v>
      </c>
      <c r="AD5" s="10" t="s">
        <v>48</v>
      </c>
    </row>
    <row r="6" spans="1:30" x14ac:dyDescent="0.5">
      <c r="B6" s="2" t="s">
        <v>13</v>
      </c>
      <c r="C6" s="16">
        <v>0</v>
      </c>
      <c r="AA6" s="2" t="s">
        <v>37</v>
      </c>
      <c r="AB6" s="2">
        <v>5</v>
      </c>
      <c r="AC6" s="2">
        <v>2022</v>
      </c>
      <c r="AD6" s="10" t="s">
        <v>49</v>
      </c>
    </row>
    <row r="7" spans="1:30" x14ac:dyDescent="0.5">
      <c r="B7" s="2" t="s">
        <v>3</v>
      </c>
      <c r="C7" s="18">
        <f>VLOOKUP(R1,AB2:AC6,2)</f>
        <v>2018</v>
      </c>
      <c r="AA7" s="2" t="s">
        <v>38</v>
      </c>
      <c r="AD7" s="10" t="s">
        <v>50</v>
      </c>
    </row>
    <row r="8" spans="1:30" x14ac:dyDescent="0.5">
      <c r="B8" s="2" t="s">
        <v>4</v>
      </c>
      <c r="C8" s="18">
        <f>Q1</f>
        <v>6</v>
      </c>
      <c r="AA8" s="2" t="s">
        <v>39</v>
      </c>
      <c r="AD8" s="10" t="s">
        <v>51</v>
      </c>
    </row>
    <row r="9" spans="1:30" x14ac:dyDescent="0.5">
      <c r="AA9" s="2" t="s">
        <v>40</v>
      </c>
      <c r="AD9" s="10" t="s">
        <v>53</v>
      </c>
    </row>
    <row r="10" spans="1:30" x14ac:dyDescent="0.5">
      <c r="A10" s="1" t="s">
        <v>1</v>
      </c>
      <c r="AA10" s="2" t="s">
        <v>41</v>
      </c>
      <c r="AD10" s="10" t="s">
        <v>52</v>
      </c>
    </row>
    <row r="11" spans="1:30" x14ac:dyDescent="0.5">
      <c r="B11" s="2" t="s">
        <v>2</v>
      </c>
      <c r="C11" s="4">
        <f>DATE(year,month,1+7*3)-WEEKDAY(DATE(year,month,8-7))</f>
        <v>43267</v>
      </c>
      <c r="AA11" s="2" t="s">
        <v>42</v>
      </c>
      <c r="AD11" s="10" t="s">
        <v>54</v>
      </c>
    </row>
    <row r="12" spans="1:30" x14ac:dyDescent="0.5">
      <c r="B12" s="2" t="s">
        <v>23</v>
      </c>
      <c r="C12" s="5">
        <f ca="1">maturitydate-TODAY()</f>
        <v>104</v>
      </c>
      <c r="AA12" s="2" t="s">
        <v>43</v>
      </c>
      <c r="AD12" s="10"/>
    </row>
    <row r="13" spans="1:30" x14ac:dyDescent="0.5">
      <c r="B13" s="2" t="s">
        <v>14</v>
      </c>
      <c r="C13" s="6">
        <f ca="1">C12/365</f>
        <v>0.28493150684931506</v>
      </c>
      <c r="AA13" s="21" t="s">
        <v>44</v>
      </c>
    </row>
    <row r="15" spans="1:30" x14ac:dyDescent="0.5">
      <c r="A15" s="1" t="s">
        <v>24</v>
      </c>
      <c r="C15" s="7"/>
    </row>
    <row r="17" spans="2:3" x14ac:dyDescent="0.5">
      <c r="B17" s="2" t="s">
        <v>25</v>
      </c>
      <c r="C17" s="8">
        <v>5</v>
      </c>
    </row>
    <row r="18" spans="2:3" x14ac:dyDescent="0.5">
      <c r="B18" s="2" t="s">
        <v>26</v>
      </c>
      <c r="C18" s="9">
        <v>0.01</v>
      </c>
    </row>
    <row r="19" spans="2:3" x14ac:dyDescent="0.5">
      <c r="B19" s="2" t="s">
        <v>27</v>
      </c>
      <c r="C19" s="9">
        <v>2.5000000000000001E-3</v>
      </c>
    </row>
    <row r="29" spans="2:3" x14ac:dyDescent="0.5">
      <c r="B29" s="1" t="s">
        <v>76</v>
      </c>
    </row>
    <row r="30" spans="2:3" x14ac:dyDescent="0.5">
      <c r="B30" s="1" t="s">
        <v>77</v>
      </c>
    </row>
    <row r="31" spans="2:3" x14ac:dyDescent="0.5">
      <c r="B31" s="1" t="s">
        <v>78</v>
      </c>
    </row>
    <row r="32" spans="2:3" x14ac:dyDescent="0.5">
      <c r="B32" s="15"/>
    </row>
  </sheetData>
  <pageMargins left="0.7" right="0.7" top="0.75" bottom="0.75" header="0.3" footer="0.3"/>
  <pageSetup paperSize="9" orientation="portrait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1" r:id="rId4" name="Button 37">
              <controlPr defaultSize="0" print="0" autoFill="0" autoPict="0" macro="[0]!Clearcells">
                <anchor moveWithCells="1" sizeWithCells="1">
                  <from>
                    <xdr:col>1</xdr:col>
                    <xdr:colOff>4763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" name="Drop Down 50">
              <controlPr defaultSize="0" autoLine="0" autoPict="0">
                <anchor moveWithCells="1">
                  <from>
                    <xdr:col>1</xdr:col>
                    <xdr:colOff>9525</xdr:colOff>
                    <xdr:row>20</xdr:row>
                    <xdr:rowOff>104775</xdr:rowOff>
                  </from>
                  <to>
                    <xdr:col>2</xdr:col>
                    <xdr:colOff>552450</xdr:colOff>
                    <xdr:row>22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6" name="Drop Down 51">
              <controlPr defaultSize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Drop Down 53">
              <controlPr defaultSize="0" autoLine="0" autoPict="0">
                <anchor moveWithCells="1">
                  <from>
                    <xdr:col>2</xdr:col>
                    <xdr:colOff>4763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BBA4A-FCE3-407A-99D9-C575C4A41D4F}">
  <sheetPr codeName="Feuil2"/>
  <dimension ref="A1:Q62"/>
  <sheetViews>
    <sheetView workbookViewId="0">
      <selection activeCell="A34" sqref="A34"/>
    </sheetView>
  </sheetViews>
  <sheetFormatPr baseColWidth="10" defaultRowHeight="14.25" x14ac:dyDescent="0.45"/>
  <sheetData>
    <row r="1" spans="1:17" ht="15.75" x14ac:dyDescent="0.5">
      <c r="A1" s="10" t="s">
        <v>45</v>
      </c>
      <c r="B1" s="10" t="s">
        <v>30</v>
      </c>
      <c r="D1" s="10" t="s">
        <v>55</v>
      </c>
      <c r="E1" s="10" t="s">
        <v>18</v>
      </c>
      <c r="F1" s="10"/>
      <c r="G1" s="10" t="s">
        <v>56</v>
      </c>
      <c r="H1" s="10" t="s">
        <v>19</v>
      </c>
      <c r="I1" s="11"/>
      <c r="J1" s="10" t="s">
        <v>57</v>
      </c>
      <c r="K1" s="10" t="s">
        <v>20</v>
      </c>
      <c r="M1" s="10" t="s">
        <v>58</v>
      </c>
      <c r="N1" s="10" t="s">
        <v>1</v>
      </c>
      <c r="O1" s="10" t="s">
        <v>21</v>
      </c>
      <c r="P1" s="10" t="s">
        <v>22</v>
      </c>
      <c r="Q1" s="10" t="s">
        <v>2</v>
      </c>
    </row>
    <row r="2" spans="1:17" ht="15.75" x14ac:dyDescent="0.5">
      <c r="A2" s="12">
        <f ca="1">MAX(0,B2-strike)-callprice</f>
        <v>-5.7336180987624843</v>
      </c>
      <c r="B2" s="12">
        <f>B3-PRICER!$C$17</f>
        <v>25</v>
      </c>
      <c r="D2" s="12">
        <f t="shared" ref="D2:D32" ca="1" si="0">BSMcall(spot,E2,vol,rate,q,time)</f>
        <v>75.212787884894126</v>
      </c>
      <c r="E2" s="12">
        <f>E3-PRICER!$C$17</f>
        <v>25</v>
      </c>
      <c r="F2" s="12"/>
      <c r="G2" s="12">
        <f t="shared" ref="G2:G32" ca="1" si="1">BSMcall(spot,strike,H2,rate,q,time)</f>
        <v>2.5728948197768204</v>
      </c>
      <c r="H2" s="13">
        <f>H3-PRICER!$C$18</f>
        <v>9.9999999999999908E-2</v>
      </c>
      <c r="I2" s="11"/>
      <c r="J2" s="12">
        <f t="shared" ref="J2:J32" ca="1" si="2">BSMcall(spot,strike,vol,K2,q,time)</f>
        <v>5.2192434621272241</v>
      </c>
      <c r="K2" s="13">
        <f>K3-PRICER!$C$19</f>
        <v>-7.4999999999999997E-3</v>
      </c>
      <c r="M2" s="12" t="e">
        <f t="shared" ref="M2:M25" ca="1" si="3">BSMcall(spot,strike,vol,rate,q,N2)</f>
        <v>#VALUE!</v>
      </c>
      <c r="N2" s="13">
        <f t="shared" ref="N2:N16" ca="1" si="4">(Q2-TODAY())/365</f>
        <v>-0.11780821917808219</v>
      </c>
      <c r="O2">
        <f>PRICER!$C$7</f>
        <v>2018</v>
      </c>
      <c r="P2">
        <v>1</v>
      </c>
      <c r="Q2" s="14">
        <f>DATE(O2,P2,1+7*3)-WEEKDAY(DATE(O2,P2,8-7))</f>
        <v>43120</v>
      </c>
    </row>
    <row r="3" spans="1:17" ht="15.75" x14ac:dyDescent="0.5">
      <c r="A3" s="12">
        <f ca="1">MAX(0,B3-strike)-callprice</f>
        <v>-5.7336180987624843</v>
      </c>
      <c r="B3" s="12">
        <f>B4-PRICER!$C$17</f>
        <v>30</v>
      </c>
      <c r="D3" s="12">
        <f t="shared" ca="1" si="0"/>
        <v>70.255345461872949</v>
      </c>
      <c r="E3" s="12">
        <f>E4-PRICER!$C$17</f>
        <v>30</v>
      </c>
      <c r="F3" s="12"/>
      <c r="G3" s="12">
        <f t="shared" ca="1" si="1"/>
        <v>2.782398327232471</v>
      </c>
      <c r="H3" s="13">
        <f>H4-PRICER!$C$18</f>
        <v>0.1099999999999999</v>
      </c>
      <c r="I3" s="11"/>
      <c r="J3" s="12">
        <f t="shared" ca="1" si="2"/>
        <v>5.2526463854154883</v>
      </c>
      <c r="K3" s="13">
        <f>K4-PRICER!$C$19</f>
        <v>-5.0000000000000001E-3</v>
      </c>
      <c r="M3" s="12" t="e">
        <f t="shared" ca="1" si="3"/>
        <v>#VALUE!</v>
      </c>
      <c r="N3" s="13">
        <f t="shared" ca="1" si="4"/>
        <v>-4.1095890410958902E-2</v>
      </c>
      <c r="O3">
        <f>PRICER!$C$7</f>
        <v>2018</v>
      </c>
      <c r="P3">
        <v>2</v>
      </c>
      <c r="Q3" s="14">
        <f>DATE(O3,P3,1+7*3)-WEEKDAY(DATE(O3,P3,8-7))</f>
        <v>43148</v>
      </c>
    </row>
    <row r="4" spans="1:17" ht="15.75" x14ac:dyDescent="0.5">
      <c r="A4" s="12">
        <f ca="1">MAX(0,B4-strike)-callprice</f>
        <v>-5.7336180987624843</v>
      </c>
      <c r="B4" s="12">
        <f>B5-PRICER!$C$17</f>
        <v>35</v>
      </c>
      <c r="D4" s="12">
        <f t="shared" ca="1" si="0"/>
        <v>65.297903038851757</v>
      </c>
      <c r="E4" s="12">
        <f>E5-PRICER!$C$17</f>
        <v>35</v>
      </c>
      <c r="F4" s="12"/>
      <c r="G4" s="12">
        <f t="shared" ca="1" si="1"/>
        <v>2.9922927709819547</v>
      </c>
      <c r="H4" s="13">
        <f>H5-PRICER!$C$18</f>
        <v>0.1199999999999999</v>
      </c>
      <c r="I4" s="11"/>
      <c r="J4" s="12">
        <f t="shared" ca="1" si="2"/>
        <v>5.2861769222899824</v>
      </c>
      <c r="K4" s="13">
        <f>K5-PRICER!$C$19</f>
        <v>-2.5000000000000001E-3</v>
      </c>
      <c r="M4" s="12">
        <f t="shared" ca="1" si="3"/>
        <v>1.9349402623653802</v>
      </c>
      <c r="N4" s="13">
        <f t="shared" ca="1" si="4"/>
        <v>3.5616438356164383E-2</v>
      </c>
      <c r="O4">
        <f>PRICER!$C$7</f>
        <v>2018</v>
      </c>
      <c r="P4">
        <v>3</v>
      </c>
      <c r="Q4" s="14">
        <f t="shared" ref="Q4:Q25" si="5">DATE(O4,P4,1+7*3)-WEEKDAY(DATE(O4,P4,8-7))</f>
        <v>43176</v>
      </c>
    </row>
    <row r="5" spans="1:17" ht="15.75" x14ac:dyDescent="0.5">
      <c r="A5" s="12">
        <f ca="1">MAX(0,B5-strike)-callprice</f>
        <v>-5.7336180987624843</v>
      </c>
      <c r="B5" s="12">
        <f>B6-PRICER!$C$17</f>
        <v>40</v>
      </c>
      <c r="D5" s="12">
        <f t="shared" ca="1" si="0"/>
        <v>60.340460615833045</v>
      </c>
      <c r="E5" s="12">
        <f>E6-PRICER!$C$17</f>
        <v>40</v>
      </c>
      <c r="F5" s="12"/>
      <c r="G5" s="12">
        <f t="shared" ca="1" si="1"/>
        <v>3.2024831374260359</v>
      </c>
      <c r="H5" s="13">
        <f>H6-PRICER!$C$18</f>
        <v>0.12999999999999989</v>
      </c>
      <c r="I5" s="11"/>
      <c r="J5" s="12">
        <f t="shared" ca="1" si="2"/>
        <v>5.3198349344354483</v>
      </c>
      <c r="K5" s="13">
        <f>K6-PRICER!$C$19</f>
        <v>0</v>
      </c>
      <c r="M5" s="12">
        <f t="shared" ca="1" si="3"/>
        <v>3.8087272341252927</v>
      </c>
      <c r="N5" s="13">
        <f t="shared" ca="1" si="4"/>
        <v>0.13150684931506848</v>
      </c>
      <c r="O5">
        <f>PRICER!$C$7</f>
        <v>2018</v>
      </c>
      <c r="P5">
        <v>4</v>
      </c>
      <c r="Q5" s="14">
        <f t="shared" si="5"/>
        <v>43211</v>
      </c>
    </row>
    <row r="6" spans="1:17" ht="15.75" x14ac:dyDescent="0.5">
      <c r="A6" s="12">
        <f ca="1">MAX(0,B6-strike)-callprice</f>
        <v>-5.7336180987624843</v>
      </c>
      <c r="B6" s="12">
        <f>B7-PRICER!$C$17</f>
        <v>45</v>
      </c>
      <c r="D6" s="12">
        <f t="shared" ca="1" si="0"/>
        <v>55.383018193837337</v>
      </c>
      <c r="E6" s="12">
        <f>E7-PRICER!$C$17</f>
        <v>45</v>
      </c>
      <c r="F6" s="12"/>
      <c r="G6" s="12">
        <f t="shared" ca="1" si="1"/>
        <v>3.4129009561959407</v>
      </c>
      <c r="H6" s="13">
        <f>H7-PRICER!$C$18</f>
        <v>0.1399999999999999</v>
      </c>
      <c r="I6" s="11"/>
      <c r="J6" s="12">
        <f t="shared" ca="1" si="2"/>
        <v>5.3536202793389762</v>
      </c>
      <c r="K6" s="13">
        <f>K7-PRICER!$C$19</f>
        <v>2.5000000000000027E-3</v>
      </c>
      <c r="M6" s="12">
        <f t="shared" ca="1" si="3"/>
        <v>4.8525530946399655</v>
      </c>
      <c r="N6" s="13">
        <f t="shared" ca="1" si="4"/>
        <v>0.20821917808219179</v>
      </c>
      <c r="O6">
        <f>PRICER!$C$7</f>
        <v>2018</v>
      </c>
      <c r="P6">
        <v>5</v>
      </c>
      <c r="Q6" s="14">
        <f t="shared" si="5"/>
        <v>43239</v>
      </c>
    </row>
    <row r="7" spans="1:17" ht="15.75" x14ac:dyDescent="0.5">
      <c r="A7" s="12">
        <f ca="1">MAX(0,B7-strike)-callprice</f>
        <v>-5.7336180987624843</v>
      </c>
      <c r="B7" s="12">
        <f>B8-PRICER!$C$17</f>
        <v>50</v>
      </c>
      <c r="D7" s="12">
        <f t="shared" ca="1" si="0"/>
        <v>50.425575891452254</v>
      </c>
      <c r="E7" s="12">
        <f>E8-PRICER!$C$17</f>
        <v>50</v>
      </c>
      <c r="F7" s="12"/>
      <c r="G7" s="12">
        <f t="shared" ca="1" si="1"/>
        <v>3.623495514671788</v>
      </c>
      <c r="H7" s="13">
        <f>H8-PRICER!$C$18</f>
        <v>0.14999999999999991</v>
      </c>
      <c r="I7" s="11"/>
      <c r="J7" s="12">
        <f t="shared" ca="1" si="2"/>
        <v>5.3875328102973583</v>
      </c>
      <c r="K7" s="13">
        <f>K8-PRICER!$C$19</f>
        <v>5.0000000000000027E-3</v>
      </c>
      <c r="M7" s="12">
        <f t="shared" ca="1" si="3"/>
        <v>5.7336180987624843</v>
      </c>
      <c r="N7" s="13">
        <f t="shared" ca="1" si="4"/>
        <v>0.28493150684931506</v>
      </c>
      <c r="O7">
        <f>PRICER!$C$7</f>
        <v>2018</v>
      </c>
      <c r="P7">
        <v>6</v>
      </c>
      <c r="Q7" s="14">
        <f t="shared" si="5"/>
        <v>43267</v>
      </c>
    </row>
    <row r="8" spans="1:17" ht="15.75" x14ac:dyDescent="0.5">
      <c r="A8" s="12">
        <f ca="1">MAX(0,B8-strike)-callprice</f>
        <v>-5.7336180987624843</v>
      </c>
      <c r="B8" s="12">
        <f>B9-PRICER!$C$17</f>
        <v>55</v>
      </c>
      <c r="D8" s="12">
        <f t="shared" ca="1" si="0"/>
        <v>45.468138846229898</v>
      </c>
      <c r="E8" s="12">
        <f>E9-PRICER!$C$17</f>
        <v>55</v>
      </c>
      <c r="F8" s="12"/>
      <c r="G8" s="12">
        <f t="shared" ca="1" si="1"/>
        <v>3.8342283425277301</v>
      </c>
      <c r="H8" s="13">
        <f>H9-PRICER!$C$18</f>
        <v>0.15999999999999992</v>
      </c>
      <c r="I8" s="11"/>
      <c r="J8" s="12">
        <f t="shared" ca="1" si="2"/>
        <v>5.4215723764248835</v>
      </c>
      <c r="K8" s="13">
        <f>K9-PRICER!$C$19</f>
        <v>7.5000000000000032E-3</v>
      </c>
      <c r="M8" s="12">
        <f t="shared" ca="1" si="3"/>
        <v>6.6984416607399666</v>
      </c>
      <c r="N8" s="13">
        <f t="shared" ca="1" si="4"/>
        <v>0.38082191780821917</v>
      </c>
      <c r="O8">
        <f>PRICER!$C$7</f>
        <v>2018</v>
      </c>
      <c r="P8">
        <v>7</v>
      </c>
      <c r="Q8" s="14">
        <f t="shared" si="5"/>
        <v>43302</v>
      </c>
    </row>
    <row r="9" spans="1:17" ht="15.75" x14ac:dyDescent="0.5">
      <c r="A9" s="12">
        <f ca="1">MAX(0,B9-strike)-callprice</f>
        <v>-5.7336180987624843</v>
      </c>
      <c r="B9" s="12">
        <f>B10-PRICER!$C$17</f>
        <v>60</v>
      </c>
      <c r="D9" s="12">
        <f t="shared" ca="1" si="0"/>
        <v>40.510808767487447</v>
      </c>
      <c r="E9" s="12">
        <f>E10-PRICER!$C$17</f>
        <v>60</v>
      </c>
      <c r="F9" s="12"/>
      <c r="G9" s="12">
        <f t="shared" ca="1" si="1"/>
        <v>4.0450696303115237</v>
      </c>
      <c r="H9" s="13">
        <f>H10-PRICER!$C$18</f>
        <v>0.16999999999999993</v>
      </c>
      <c r="I9" s="11"/>
      <c r="J9" s="12">
        <f t="shared" ca="1" si="2"/>
        <v>5.4557388226614378</v>
      </c>
      <c r="K9" s="13">
        <f>K10-PRICER!$C$19</f>
        <v>1.0000000000000004E-2</v>
      </c>
      <c r="M9" s="12">
        <f t="shared" ca="1" si="3"/>
        <v>7.395877189295625</v>
      </c>
      <c r="N9" s="13">
        <f t="shared" ca="1" si="4"/>
        <v>0.45753424657534247</v>
      </c>
      <c r="O9">
        <f>PRICER!$C$7</f>
        <v>2018</v>
      </c>
      <c r="P9">
        <v>8</v>
      </c>
      <c r="Q9" s="14">
        <f t="shared" si="5"/>
        <v>43330</v>
      </c>
    </row>
    <row r="10" spans="1:17" ht="15.75" x14ac:dyDescent="0.5">
      <c r="A10" s="12">
        <f ca="1">MAX(0,B10-strike)-callprice</f>
        <v>-5.7336180987624843</v>
      </c>
      <c r="B10" s="12">
        <f>B11-PRICER!$C$17</f>
        <v>65</v>
      </c>
      <c r="D10" s="12">
        <f t="shared" ca="1" si="0"/>
        <v>35.554650336074971</v>
      </c>
      <c r="E10" s="12">
        <f>E11-PRICER!$C$17</f>
        <v>65</v>
      </c>
      <c r="F10" s="12"/>
      <c r="G10" s="12">
        <f t="shared" ca="1" si="1"/>
        <v>4.2559958350535254</v>
      </c>
      <c r="H10" s="13">
        <f>H11-PRICER!$C$18</f>
        <v>0.17999999999999994</v>
      </c>
      <c r="I10" s="11"/>
      <c r="J10" s="12">
        <f t="shared" ca="1" si="2"/>
        <v>5.490031989780995</v>
      </c>
      <c r="K10" s="13">
        <f>K11-PRICER!$C$19</f>
        <v>1.2500000000000004E-2</v>
      </c>
      <c r="M10" s="12">
        <f t="shared" ca="1" si="3"/>
        <v>8.0445531911575898</v>
      </c>
      <c r="N10" s="13">
        <f t="shared" ca="1" si="4"/>
        <v>0.53424657534246578</v>
      </c>
      <c r="O10">
        <f>PRICER!$C$7</f>
        <v>2018</v>
      </c>
      <c r="P10">
        <v>9</v>
      </c>
      <c r="Q10" s="14">
        <f t="shared" si="5"/>
        <v>43358</v>
      </c>
    </row>
    <row r="11" spans="1:17" ht="15.75" x14ac:dyDescent="0.5">
      <c r="A11" s="12">
        <f ca="1">MAX(0,B11-strike)-callprice</f>
        <v>-5.7336180987624843</v>
      </c>
      <c r="B11" s="12">
        <f>B12-PRICER!$C$17</f>
        <v>70</v>
      </c>
      <c r="D11" s="12">
        <f t="shared" ca="1" si="0"/>
        <v>30.606228448701557</v>
      </c>
      <c r="E11" s="12">
        <f>E12-PRICER!$C$17</f>
        <v>70</v>
      </c>
      <c r="F11" s="12"/>
      <c r="G11" s="12">
        <f t="shared" ca="1" si="1"/>
        <v>4.466988038203155</v>
      </c>
      <c r="H11" s="13">
        <f>H12-PRICER!$C$18</f>
        <v>0.18999999999999995</v>
      </c>
      <c r="I11" s="11"/>
      <c r="J11" s="12">
        <f t="shared" ca="1" si="2"/>
        <v>5.5244517144004561</v>
      </c>
      <c r="K11" s="13">
        <f>K12-PRICER!$C$19</f>
        <v>1.5000000000000005E-2</v>
      </c>
      <c r="M11" s="12">
        <f t="shared" ca="1" si="3"/>
        <v>8.8018527476739052</v>
      </c>
      <c r="N11" s="13">
        <f t="shared" ca="1" si="4"/>
        <v>0.63013698630136983</v>
      </c>
      <c r="O11">
        <f>PRICER!$C$7</f>
        <v>2018</v>
      </c>
      <c r="P11">
        <v>10</v>
      </c>
      <c r="Q11" s="14">
        <f t="shared" si="5"/>
        <v>43393</v>
      </c>
    </row>
    <row r="12" spans="1:17" ht="15.75" x14ac:dyDescent="0.5">
      <c r="A12" s="12">
        <f ca="1">MAX(0,B12-strike)-callprice</f>
        <v>-5.7336180987624843</v>
      </c>
      <c r="B12" s="12">
        <f>B13-PRICER!$C$17</f>
        <v>75</v>
      </c>
      <c r="D12" s="12">
        <f t="shared" ca="1" si="0"/>
        <v>25.691412964236079</v>
      </c>
      <c r="E12" s="12">
        <f>E13-PRICER!$C$17</f>
        <v>75</v>
      </c>
      <c r="F12" s="12"/>
      <c r="G12" s="12">
        <f t="shared" ca="1" si="1"/>
        <v>4.6780307939830692</v>
      </c>
      <c r="H12" s="13">
        <f>H13-PRICER!$C$18</f>
        <v>0.19999999999999996</v>
      </c>
      <c r="I12" s="11"/>
      <c r="J12" s="12">
        <f t="shared" ca="1" si="2"/>
        <v>5.5589978289888435</v>
      </c>
      <c r="K12" s="13">
        <f>K13-PRICER!$C$19</f>
        <v>1.7500000000000005E-2</v>
      </c>
      <c r="M12" s="12">
        <f t="shared" ca="1" si="3"/>
        <v>9.3730517033831617</v>
      </c>
      <c r="N12" s="13">
        <f t="shared" ca="1" si="4"/>
        <v>0.70684931506849313</v>
      </c>
      <c r="O12">
        <f>PRICER!$C$7</f>
        <v>2018</v>
      </c>
      <c r="P12">
        <v>11</v>
      </c>
      <c r="Q12" s="14">
        <f t="shared" si="5"/>
        <v>43421</v>
      </c>
    </row>
    <row r="13" spans="1:17" ht="15.75" x14ac:dyDescent="0.5">
      <c r="A13" s="12">
        <f ca="1">MAX(0,B13-strike)-callprice</f>
        <v>-5.7336180987624843</v>
      </c>
      <c r="B13" s="12">
        <f>B14-PRICER!$C$17</f>
        <v>80</v>
      </c>
      <c r="D13" s="12">
        <f t="shared" ca="1" si="0"/>
        <v>20.879480967350801</v>
      </c>
      <c r="E13" s="12">
        <f>E14-PRICER!$C$17</f>
        <v>80</v>
      </c>
      <c r="F13" s="12"/>
      <c r="G13" s="12">
        <f t="shared" ca="1" si="1"/>
        <v>4.8891113054685889</v>
      </c>
      <c r="H13" s="13">
        <f>H14-PRICER!$C$18</f>
        <v>0.20999999999999996</v>
      </c>
      <c r="I13" s="11"/>
      <c r="J13" s="12">
        <f t="shared" ca="1" si="2"/>
        <v>5.5936701618768794</v>
      </c>
      <c r="K13" s="13">
        <f>K14-PRICER!$C$19</f>
        <v>2.0000000000000004E-2</v>
      </c>
      <c r="M13" s="12">
        <f t="shared" ca="1" si="3"/>
        <v>9.9186820808168221</v>
      </c>
      <c r="N13" s="13">
        <f t="shared" ca="1" si="4"/>
        <v>0.78356164383561644</v>
      </c>
      <c r="O13">
        <f>PRICER!$C$7</f>
        <v>2018</v>
      </c>
      <c r="P13">
        <v>12</v>
      </c>
      <c r="Q13" s="14">
        <f t="shared" si="5"/>
        <v>43449</v>
      </c>
    </row>
    <row r="14" spans="1:17" ht="15.75" x14ac:dyDescent="0.5">
      <c r="A14" s="12">
        <f ca="1">MAX(0,B14-strike)-callprice</f>
        <v>-5.7336180987624843</v>
      </c>
      <c r="B14" s="12">
        <f>B15-PRICER!$C$17</f>
        <v>85</v>
      </c>
      <c r="D14" s="12">
        <f t="shared" ca="1" si="0"/>
        <v>16.302149946307679</v>
      </c>
      <c r="E14" s="12">
        <f>E15-PRICER!$C$17</f>
        <v>85</v>
      </c>
      <c r="F14" s="12"/>
      <c r="G14" s="12">
        <f t="shared" ca="1" si="1"/>
        <v>5.1002188245642728</v>
      </c>
      <c r="H14" s="13">
        <f>H15-PRICER!$C$18</f>
        <v>0.21999999999999997</v>
      </c>
      <c r="I14" s="11"/>
      <c r="J14" s="12">
        <f t="shared" ca="1" si="2"/>
        <v>5.6284685372668193</v>
      </c>
      <c r="K14" s="13">
        <f>K15-PRICER!$C$19</f>
        <v>2.2500000000000003E-2</v>
      </c>
      <c r="M14" s="12">
        <f t="shared" ca="1" si="3"/>
        <v>10.570158799804155</v>
      </c>
      <c r="N14" s="13">
        <f t="shared" ca="1" si="4"/>
        <v>0.8794520547945206</v>
      </c>
      <c r="O14">
        <f>PRICER!$C$7+1</f>
        <v>2019</v>
      </c>
      <c r="P14">
        <v>1</v>
      </c>
      <c r="Q14" s="14">
        <f t="shared" si="5"/>
        <v>43484</v>
      </c>
    </row>
    <row r="15" spans="1:17" ht="15.75" x14ac:dyDescent="0.5">
      <c r="A15" s="12">
        <f ca="1">MAX(0,B15-strike)-callprice</f>
        <v>-5.7336180987624843</v>
      </c>
      <c r="B15" s="12">
        <f>B16-PRICER!$C$17</f>
        <v>90</v>
      </c>
      <c r="D15" s="12">
        <f t="shared" ca="1" si="0"/>
        <v>12.141582216557083</v>
      </c>
      <c r="E15" s="12">
        <f>E16-PRICER!$C$17</f>
        <v>90</v>
      </c>
      <c r="F15" s="12"/>
      <c r="G15" s="12">
        <f t="shared" ca="1" si="1"/>
        <v>5.3113442080006124</v>
      </c>
      <c r="H15" s="13">
        <f>H16-PRICER!$C$18</f>
        <v>0.22999999999999998</v>
      </c>
      <c r="I15" s="11"/>
      <c r="J15" s="12">
        <f t="shared" ca="1" si="2"/>
        <v>5.6633927752427979</v>
      </c>
      <c r="K15" s="13">
        <f>K16-PRICER!$C$19</f>
        <v>2.5000000000000001E-2</v>
      </c>
      <c r="M15" s="12">
        <f t="shared" ca="1" si="3"/>
        <v>11.070222493458608</v>
      </c>
      <c r="N15" s="13">
        <f t="shared" ca="1" si="4"/>
        <v>0.95616438356164379</v>
      </c>
      <c r="O15">
        <f>PRICER!$C$7+1</f>
        <v>2019</v>
      </c>
      <c r="P15">
        <v>2</v>
      </c>
      <c r="Q15" s="14">
        <f t="shared" si="5"/>
        <v>43512</v>
      </c>
    </row>
    <row r="16" spans="1:17" ht="15.75" x14ac:dyDescent="0.5">
      <c r="A16" s="12">
        <f ca="1">MAX(0,B16-strike)-callprice</f>
        <v>-5.7336180987624843</v>
      </c>
      <c r="B16" s="12">
        <f>B17-PRICER!$C$17</f>
        <v>95</v>
      </c>
      <c r="D16" s="12">
        <f t="shared" ca="1" si="0"/>
        <v>8.5794865185287179</v>
      </c>
      <c r="E16" s="12">
        <f>E17-PRICER!$C$17</f>
        <v>95</v>
      </c>
      <c r="F16" s="12"/>
      <c r="G16" s="12">
        <f t="shared" ca="1" si="1"/>
        <v>5.5224795840055734</v>
      </c>
      <c r="H16" s="13">
        <f>H17-PRICER!$C$18</f>
        <v>0.24</v>
      </c>
      <c r="I16" s="11"/>
      <c r="J16" s="12">
        <f t="shared" ca="1" si="2"/>
        <v>5.6984426917813664</v>
      </c>
      <c r="K16" s="13">
        <f>K17-PRICER!$C$19</f>
        <v>2.75E-2</v>
      </c>
      <c r="M16" s="12">
        <f t="shared" ca="1" si="3"/>
        <v>11.553855660249361</v>
      </c>
      <c r="N16" s="13">
        <f t="shared" ca="1" si="4"/>
        <v>1.0328767123287672</v>
      </c>
      <c r="O16">
        <f>PRICER!$C$7+1</f>
        <v>2019</v>
      </c>
      <c r="P16">
        <v>3</v>
      </c>
      <c r="Q16" s="14">
        <f t="shared" si="5"/>
        <v>43540</v>
      </c>
    </row>
    <row r="17" spans="1:17" ht="15.75" x14ac:dyDescent="0.5">
      <c r="A17" s="12">
        <f ca="1">MAX(0,B17-strike)-callprice</f>
        <v>-5.7336180987624843</v>
      </c>
      <c r="B17" s="23">
        <f>spot</f>
        <v>100</v>
      </c>
      <c r="D17" s="12">
        <f t="shared" ca="1" si="0"/>
        <v>5.7336180987624843</v>
      </c>
      <c r="E17" s="23">
        <f>strike</f>
        <v>100</v>
      </c>
      <c r="F17" s="12"/>
      <c r="G17" s="12">
        <f t="shared" ca="1" si="1"/>
        <v>5.7336180987624843</v>
      </c>
      <c r="H17" s="24">
        <f>vol</f>
        <v>0.25</v>
      </c>
      <c r="I17" s="11"/>
      <c r="J17" s="12">
        <f t="shared" ca="1" si="2"/>
        <v>5.7336180987624843</v>
      </c>
      <c r="K17" s="24">
        <f>rate</f>
        <v>0.03</v>
      </c>
      <c r="M17" s="12">
        <f t="shared" ca="1" si="3"/>
        <v>12.137916562788483</v>
      </c>
      <c r="N17" s="13">
        <f ca="1">(Q17-TODAY())/365</f>
        <v>1.1287671232876713</v>
      </c>
      <c r="O17">
        <f>PRICER!$C$7+1</f>
        <v>2019</v>
      </c>
      <c r="P17">
        <v>4</v>
      </c>
      <c r="Q17" s="14">
        <f t="shared" si="5"/>
        <v>43575</v>
      </c>
    </row>
    <row r="18" spans="1:17" ht="15.75" x14ac:dyDescent="0.5">
      <c r="A18" s="12">
        <f ca="1">MAX(0,B18-strike)-callprice</f>
        <v>-0.73361809876248429</v>
      </c>
      <c r="B18" s="12">
        <f>B17+PRICER!$C$17</f>
        <v>105</v>
      </c>
      <c r="D18" s="12">
        <f t="shared" ca="1" si="0"/>
        <v>3.6205077550735112</v>
      </c>
      <c r="E18" s="12">
        <f>E17+PRICER!$C$17</f>
        <v>105</v>
      </c>
      <c r="F18" s="12"/>
      <c r="G18" s="12">
        <f t="shared" ca="1" si="1"/>
        <v>5.9447537212371273</v>
      </c>
      <c r="H18" s="13">
        <f>H17+PRICER!$C$18</f>
        <v>0.26</v>
      </c>
      <c r="I18" s="11"/>
      <c r="J18" s="12">
        <f t="shared" ca="1" si="2"/>
        <v>5.7689188039807746</v>
      </c>
      <c r="K18" s="13">
        <f>K17+PRICER!$C$19</f>
        <v>3.2500000000000001E-2</v>
      </c>
      <c r="M18" s="12">
        <f t="shared" ca="1" si="3"/>
        <v>12.590507349886991</v>
      </c>
      <c r="N18" s="13">
        <f t="shared" ref="N18:N25" ca="1" si="6">(Q18-TODAY())/365</f>
        <v>1.2054794520547945</v>
      </c>
      <c r="O18">
        <f>PRICER!$C$7+1</f>
        <v>2019</v>
      </c>
      <c r="P18">
        <v>5</v>
      </c>
      <c r="Q18" s="14">
        <f t="shared" si="5"/>
        <v>43603</v>
      </c>
    </row>
    <row r="19" spans="1:17" ht="15.75" x14ac:dyDescent="0.5">
      <c r="A19" s="12">
        <f ca="1">MAX(0,B19-strike)-callprice</f>
        <v>4.2663819012375157</v>
      </c>
      <c r="B19" s="12">
        <f>B18+PRICER!$C$17</f>
        <v>110</v>
      </c>
      <c r="D19" s="12">
        <f t="shared" ca="1" si="0"/>
        <v>2.1620961722983125</v>
      </c>
      <c r="E19" s="12">
        <f>E18+PRICER!$C$17</f>
        <v>110</v>
      </c>
      <c r="F19" s="12"/>
      <c r="G19" s="12">
        <f t="shared" ca="1" si="1"/>
        <v>6.155881091282474</v>
      </c>
      <c r="H19" s="13">
        <f>H18+PRICER!$C$18</f>
        <v>0.27</v>
      </c>
      <c r="I19" s="11"/>
      <c r="J19" s="12">
        <f t="shared" ca="1" si="2"/>
        <v>5.8043446111573118</v>
      </c>
      <c r="K19" s="13">
        <f>K18+PRICER!$C$19</f>
        <v>3.5000000000000003E-2</v>
      </c>
      <c r="M19" s="12">
        <f t="shared" ca="1" si="3"/>
        <v>13.031348307303112</v>
      </c>
      <c r="N19" s="13">
        <f t="shared" ca="1" si="6"/>
        <v>1.2821917808219179</v>
      </c>
      <c r="O19">
        <f>PRICER!$C$7+1</f>
        <v>2019</v>
      </c>
      <c r="P19">
        <v>6</v>
      </c>
      <c r="Q19" s="14">
        <f t="shared" si="5"/>
        <v>43631</v>
      </c>
    </row>
    <row r="20" spans="1:17" ht="15.75" x14ac:dyDescent="0.5">
      <c r="A20" s="12">
        <f ca="1">MAX(0,B20-strike)-callprice</f>
        <v>9.2663819012375157</v>
      </c>
      <c r="B20" s="12">
        <f>B19+PRICER!$C$17</f>
        <v>115</v>
      </c>
      <c r="D20" s="12">
        <f t="shared" ca="1" si="0"/>
        <v>1.2238153837567793</v>
      </c>
      <c r="E20" s="12">
        <f>E19+PRICER!$C$17</f>
        <v>115</v>
      </c>
      <c r="F20" s="12"/>
      <c r="G20" s="12">
        <f t="shared" ca="1" si="1"/>
        <v>6.366995400229051</v>
      </c>
      <c r="H20" s="13">
        <f>H19+PRICER!$C$18</f>
        <v>0.28000000000000003</v>
      </c>
      <c r="I20" s="11"/>
      <c r="J20" s="12">
        <f t="shared" ca="1" si="2"/>
        <v>5.8398953199514381</v>
      </c>
      <c r="K20" s="13">
        <f>K19+PRICER!$C$19</f>
        <v>3.7500000000000006E-2</v>
      </c>
      <c r="M20" s="12">
        <f t="shared" ca="1" si="3"/>
        <v>13.567380988295788</v>
      </c>
      <c r="N20" s="13">
        <f t="shared" ca="1" si="6"/>
        <v>1.3780821917808219</v>
      </c>
      <c r="O20">
        <f>PRICER!$C$7+1</f>
        <v>2019</v>
      </c>
      <c r="P20">
        <v>7</v>
      </c>
      <c r="Q20" s="14">
        <f t="shared" si="5"/>
        <v>43666</v>
      </c>
    </row>
    <row r="21" spans="1:17" ht="15.75" x14ac:dyDescent="0.5">
      <c r="A21" s="12">
        <f ca="1">MAX(0,B21-strike)-callprice</f>
        <v>14.266381901237516</v>
      </c>
      <c r="B21" s="12">
        <f>B20+PRICER!$C$17</f>
        <v>120</v>
      </c>
      <c r="D21" s="12">
        <f t="shared" ca="1" si="0"/>
        <v>0.65861768358880646</v>
      </c>
      <c r="E21" s="12">
        <f>E20+PRICER!$C$17</f>
        <v>120</v>
      </c>
      <c r="F21" s="12"/>
      <c r="G21" s="12">
        <f t="shared" ca="1" si="1"/>
        <v>6.5780922961378039</v>
      </c>
      <c r="H21" s="13">
        <f>H20+PRICER!$C$18</f>
        <v>0.29000000000000004</v>
      </c>
      <c r="I21" s="11"/>
      <c r="J21" s="12">
        <f t="shared" ca="1" si="2"/>
        <v>5.8755707259731835</v>
      </c>
      <c r="K21" s="13">
        <f>K20+PRICER!$C$19</f>
        <v>4.0000000000000008E-2</v>
      </c>
      <c r="M21" s="12">
        <f t="shared" ca="1" si="3"/>
        <v>13.98522073906679</v>
      </c>
      <c r="N21" s="13">
        <f t="shared" ca="1" si="6"/>
        <v>1.4547945205479451</v>
      </c>
      <c r="O21">
        <f>PRICER!$C$7+1</f>
        <v>2019</v>
      </c>
      <c r="P21">
        <v>8</v>
      </c>
      <c r="Q21" s="14">
        <f t="shared" si="5"/>
        <v>43694</v>
      </c>
    </row>
    <row r="22" spans="1:17" ht="15.75" x14ac:dyDescent="0.5">
      <c r="A22" s="12">
        <f ca="1">MAX(0,B22-strike)-callprice</f>
        <v>19.266381901237516</v>
      </c>
      <c r="B22" s="12">
        <f>B21+PRICER!$C$17</f>
        <v>125</v>
      </c>
      <c r="D22" s="12">
        <f t="shared" ca="1" si="0"/>
        <v>0.3381987751346367</v>
      </c>
      <c r="E22" s="12">
        <f>E21+PRICER!$C$17</f>
        <v>125</v>
      </c>
      <c r="F22" s="12"/>
      <c r="G22" s="12">
        <f t="shared" ca="1" si="1"/>
        <v>6.7891678079736053</v>
      </c>
      <c r="H22" s="13">
        <f>H21+PRICER!$C$18</f>
        <v>0.30000000000000004</v>
      </c>
      <c r="I22" s="11"/>
      <c r="J22" s="12">
        <f t="shared" ca="1" si="2"/>
        <v>5.9113706207960348</v>
      </c>
      <c r="K22" s="13">
        <f>K21+PRICER!$C$19</f>
        <v>4.250000000000001E-2</v>
      </c>
      <c r="M22" s="12">
        <f t="shared" ca="1" si="3"/>
        <v>14.494971620497111</v>
      </c>
      <c r="N22" s="13">
        <f t="shared" ca="1" si="6"/>
        <v>1.5506849315068494</v>
      </c>
      <c r="O22">
        <f>PRICER!$C$7+1</f>
        <v>2019</v>
      </c>
      <c r="P22">
        <v>9</v>
      </c>
      <c r="Q22" s="14">
        <f t="shared" si="5"/>
        <v>43729</v>
      </c>
    </row>
    <row r="23" spans="1:17" ht="15.75" x14ac:dyDescent="0.5">
      <c r="A23" s="12">
        <f ca="1">MAX(0,B23-strike)-callprice</f>
        <v>24.266381901237516</v>
      </c>
      <c r="B23" s="12">
        <f>B22+PRICER!$C$17</f>
        <v>130</v>
      </c>
      <c r="D23" s="12">
        <f t="shared" ca="1" si="0"/>
        <v>0.16632528442545347</v>
      </c>
      <c r="E23" s="12">
        <f>E22+PRICER!$C$17</f>
        <v>130</v>
      </c>
      <c r="F23" s="12"/>
      <c r="G23" s="12">
        <f t="shared" ca="1" si="1"/>
        <v>7.0002182844353413</v>
      </c>
      <c r="H23" s="13">
        <f>H22+PRICER!$C$18</f>
        <v>0.31000000000000005</v>
      </c>
      <c r="I23" s="11"/>
      <c r="J23" s="12">
        <f t="shared" ca="1" si="2"/>
        <v>5.9472947919698242</v>
      </c>
      <c r="K23" s="13">
        <f>K22+PRICER!$C$19</f>
        <v>4.5000000000000012E-2</v>
      </c>
      <c r="M23" s="12">
        <f t="shared" ca="1" si="3"/>
        <v>14.89349229405471</v>
      </c>
      <c r="N23" s="13">
        <f t="shared" ca="1" si="6"/>
        <v>1.6273972602739726</v>
      </c>
      <c r="O23">
        <f>PRICER!$C$7+1</f>
        <v>2019</v>
      </c>
      <c r="P23">
        <v>10</v>
      </c>
      <c r="Q23" s="14">
        <f t="shared" si="5"/>
        <v>43757</v>
      </c>
    </row>
    <row r="24" spans="1:17" ht="15.75" x14ac:dyDescent="0.5">
      <c r="A24" s="12">
        <f ca="1">MAX(0,B24-strike)-callprice</f>
        <v>29.266381901237516</v>
      </c>
      <c r="B24" s="12">
        <f>B23+PRICER!$C$17</f>
        <v>135</v>
      </c>
      <c r="D24" s="12">
        <f t="shared" ca="1" si="0"/>
        <v>7.8635436978010009E-2</v>
      </c>
      <c r="E24" s="12">
        <f>E23+PRICER!$C$17</f>
        <v>135</v>
      </c>
      <c r="F24" s="12"/>
      <c r="G24" s="12">
        <f t="shared" ca="1" si="1"/>
        <v>7.2112403442427606</v>
      </c>
      <c r="H24" s="13">
        <f>H23+PRICER!$C$18</f>
        <v>0.32000000000000006</v>
      </c>
      <c r="I24" s="11"/>
      <c r="J24" s="12">
        <f t="shared" ca="1" si="2"/>
        <v>5.9833430230341449</v>
      </c>
      <c r="K24" s="13">
        <f>K23+PRICER!$C$19</f>
        <v>4.7500000000000014E-2</v>
      </c>
      <c r="M24" s="12">
        <f t="shared" ca="1" si="3"/>
        <v>15.284355625589505</v>
      </c>
      <c r="N24" s="13">
        <f t="shared" ca="1" si="6"/>
        <v>1.704109589041096</v>
      </c>
      <c r="O24">
        <f>PRICER!$C$7+1</f>
        <v>2019</v>
      </c>
      <c r="P24">
        <v>11</v>
      </c>
      <c r="Q24" s="14">
        <f t="shared" si="5"/>
        <v>43785</v>
      </c>
    </row>
    <row r="25" spans="1:17" ht="15.75" x14ac:dyDescent="0.5">
      <c r="A25" s="12">
        <f ca="1">MAX(0,B25-strike)-callprice</f>
        <v>34.266381901237516</v>
      </c>
      <c r="B25" s="12">
        <f>B24+PRICER!$C$17</f>
        <v>140</v>
      </c>
      <c r="D25" s="12">
        <f t="shared" ca="1" si="0"/>
        <v>3.586956410366049E-2</v>
      </c>
      <c r="E25" s="12">
        <f>E24+PRICER!$C$17</f>
        <v>140</v>
      </c>
      <c r="F25" s="12"/>
      <c r="G25" s="12">
        <f t="shared" ca="1" si="1"/>
        <v>7.4222308354540729</v>
      </c>
      <c r="H25" s="13">
        <f>H24+PRICER!$C$18</f>
        <v>0.33000000000000007</v>
      </c>
      <c r="I25" s="11"/>
      <c r="J25" s="12">
        <f t="shared" ca="1" si="2"/>
        <v>6.0195150935320569</v>
      </c>
      <c r="K25" s="13">
        <f>K24+PRICER!$C$19</f>
        <v>5.0000000000000017E-2</v>
      </c>
      <c r="M25" s="12">
        <f t="shared" ca="1" si="3"/>
        <v>15.762895843486326</v>
      </c>
      <c r="N25" s="13">
        <f t="shared" ca="1" si="6"/>
        <v>1.8</v>
      </c>
      <c r="O25">
        <f>PRICER!$C$7+1</f>
        <v>2019</v>
      </c>
      <c r="P25">
        <v>12</v>
      </c>
      <c r="Q25" s="14">
        <f t="shared" si="5"/>
        <v>43820</v>
      </c>
    </row>
    <row r="26" spans="1:17" ht="15.75" x14ac:dyDescent="0.5">
      <c r="A26" s="12">
        <f ca="1">MAX(0,B26-strike)-callprice</f>
        <v>39.266381901237516</v>
      </c>
      <c r="B26" s="12">
        <f>B25+PRICER!$C$17</f>
        <v>145</v>
      </c>
      <c r="D26" s="12">
        <f t="shared" ca="1" si="0"/>
        <v>1.5840649504645254E-2</v>
      </c>
      <c r="E26" s="12">
        <f>E25+PRICER!$C$17</f>
        <v>145</v>
      </c>
      <c r="F26" s="12"/>
      <c r="G26" s="12">
        <f t="shared" ca="1" si="1"/>
        <v>7.6331868019580469</v>
      </c>
      <c r="H26" s="13">
        <f>H25+PRICER!$C$18</f>
        <v>0.34000000000000008</v>
      </c>
      <c r="I26" s="11"/>
      <c r="J26" s="12">
        <f t="shared" ca="1" si="2"/>
        <v>6.0558107790241849</v>
      </c>
      <c r="K26" s="13">
        <f>K25+PRICER!$C$19</f>
        <v>5.2500000000000019E-2</v>
      </c>
      <c r="M26" s="12"/>
      <c r="N26" s="13"/>
    </row>
    <row r="27" spans="1:17" ht="15.75" x14ac:dyDescent="0.5">
      <c r="A27" s="12">
        <f ca="1">MAX(0,B27-strike)-callprice</f>
        <v>44.266381901237516</v>
      </c>
      <c r="B27" s="12">
        <f>B26+PRICER!$C$17</f>
        <v>150</v>
      </c>
      <c r="D27" s="12">
        <f t="shared" ca="1" si="0"/>
        <v>6.7944109892394688E-3</v>
      </c>
      <c r="E27" s="12">
        <f>E26+PRICER!$C$17</f>
        <v>150</v>
      </c>
      <c r="F27" s="12"/>
      <c r="G27" s="12">
        <f t="shared" ca="1" si="1"/>
        <v>7.844105455708096</v>
      </c>
      <c r="H27" s="13">
        <f>H26+PRICER!$C$18</f>
        <v>0.35000000000000009</v>
      </c>
      <c r="I27" s="11"/>
      <c r="J27" s="12">
        <f t="shared" ca="1" si="2"/>
        <v>6.0922298511029354</v>
      </c>
      <c r="K27" s="13">
        <f>K26+PRICER!$C$19</f>
        <v>5.5000000000000021E-2</v>
      </c>
      <c r="M27" s="12"/>
      <c r="N27" s="13"/>
    </row>
    <row r="28" spans="1:17" ht="15.75" x14ac:dyDescent="0.5">
      <c r="A28" s="12">
        <f ca="1">MAX(0,B28-strike)-callprice</f>
        <v>49.266381901237516</v>
      </c>
      <c r="B28" s="12">
        <f>B27+PRICER!$C$17</f>
        <v>155</v>
      </c>
      <c r="D28" s="12">
        <f t="shared" ca="1" si="0"/>
        <v>2.838904126975017E-3</v>
      </c>
      <c r="E28" s="12">
        <f>E27+PRICER!$C$17</f>
        <v>155</v>
      </c>
      <c r="F28" s="12"/>
      <c r="G28" s="12">
        <f t="shared" ca="1" si="1"/>
        <v>8.0549841535832343</v>
      </c>
      <c r="H28" s="13">
        <f>H27+PRICER!$C$18</f>
        <v>0.3600000000000001</v>
      </c>
      <c r="I28" s="11"/>
      <c r="J28" s="12">
        <f t="shared" ca="1" si="2"/>
        <v>6.128772077407362</v>
      </c>
      <c r="K28" s="13">
        <f>K27+PRICER!$C$19</f>
        <v>5.7500000000000023E-2</v>
      </c>
      <c r="M28" s="12"/>
      <c r="N28" s="13"/>
    </row>
    <row r="29" spans="1:17" ht="15.75" x14ac:dyDescent="0.5">
      <c r="A29" s="12">
        <f ca="1">MAX(0,B29-strike)-callprice</f>
        <v>54.266381901237516</v>
      </c>
      <c r="B29" s="12">
        <f>B28+PRICER!$C$17</f>
        <v>160</v>
      </c>
      <c r="D29" s="12">
        <f t="shared" ca="1" si="0"/>
        <v>1.1586518828299378E-3</v>
      </c>
      <c r="E29" s="12">
        <f>E28+PRICER!$C$17</f>
        <v>160</v>
      </c>
      <c r="F29" s="12"/>
      <c r="G29" s="12">
        <f t="shared" ca="1" si="1"/>
        <v>8.2658203780021111</v>
      </c>
      <c r="H29" s="13">
        <f>H28+PRICER!$C$18</f>
        <v>0.37000000000000011</v>
      </c>
      <c r="I29" s="11"/>
      <c r="J29" s="12">
        <f t="shared" ca="1" si="2"/>
        <v>6.1654372216380438</v>
      </c>
      <c r="K29" s="13">
        <f>K28+PRICER!$C$19</f>
        <v>6.0000000000000026E-2</v>
      </c>
      <c r="M29" s="12"/>
      <c r="N29" s="13"/>
    </row>
    <row r="30" spans="1:17" ht="15.75" x14ac:dyDescent="0.5">
      <c r="A30" s="12">
        <f ca="1">MAX(0,B30-strike)-callprice</f>
        <v>59.266381901237516</v>
      </c>
      <c r="B30" s="12">
        <f>B29+PRICER!$C$17</f>
        <v>165</v>
      </c>
      <c r="D30" s="12">
        <f t="shared" ca="1" si="0"/>
        <v>4.6306332826303101E-4</v>
      </c>
      <c r="E30" s="12">
        <f>E29+PRICER!$C$17</f>
        <v>165</v>
      </c>
      <c r="F30" s="12"/>
      <c r="G30" s="12">
        <f t="shared" ca="1" si="1"/>
        <v>8.4766117205993297</v>
      </c>
      <c r="H30" s="13">
        <f>H29+PRICER!$C$18</f>
        <v>0.38000000000000012</v>
      </c>
      <c r="I30" s="11"/>
      <c r="J30" s="12">
        <f t="shared" ca="1" si="2"/>
        <v>6.2022250435725823</v>
      </c>
      <c r="K30" s="13">
        <f>K29+PRICER!$C$19</f>
        <v>6.2500000000000028E-2</v>
      </c>
      <c r="M30" s="12"/>
      <c r="N30" s="13"/>
    </row>
    <row r="31" spans="1:17" ht="15.75" x14ac:dyDescent="0.5">
      <c r="A31" s="12">
        <f ca="1">MAX(0,B31-strike)-callprice</f>
        <v>64.266381901237509</v>
      </c>
      <c r="B31" s="12">
        <f>B30+PRICER!$C$17</f>
        <v>170</v>
      </c>
      <c r="D31" s="12">
        <f t="shared" ca="1" si="0"/>
        <v>1.8163475931918128E-4</v>
      </c>
      <c r="E31" s="12">
        <f>E30+PRICER!$C$17</f>
        <v>170</v>
      </c>
      <c r="F31" s="12"/>
      <c r="G31" s="12">
        <f t="shared" ca="1" si="1"/>
        <v>8.6873558684152243</v>
      </c>
      <c r="H31" s="13">
        <f>H30+PRICER!$C$18</f>
        <v>0.39000000000000012</v>
      </c>
      <c r="I31" s="11"/>
      <c r="J31" s="12">
        <f t="shared" ca="1" si="2"/>
        <v>6.2391352990812052</v>
      </c>
      <c r="K31" s="13">
        <f>K30+PRICER!$C$19</f>
        <v>6.500000000000003E-2</v>
      </c>
      <c r="M31" s="12"/>
      <c r="N31" s="13"/>
    </row>
    <row r="32" spans="1:17" ht="15.75" x14ac:dyDescent="0.5">
      <c r="A32" s="12">
        <f ca="1">MAX(0,B32-strike)-callprice</f>
        <v>69.266381901237509</v>
      </c>
      <c r="B32" s="12">
        <f>B31+PRICER!$C$17</f>
        <v>175</v>
      </c>
      <c r="D32" s="12">
        <f t="shared" ca="1" si="0"/>
        <v>7.0068920066708538E-5</v>
      </c>
      <c r="E32" s="12">
        <f>E31+PRICER!$C$17</f>
        <v>175</v>
      </c>
      <c r="F32" s="12"/>
      <c r="G32" s="12">
        <f t="shared" ca="1" si="1"/>
        <v>8.8980505921598549</v>
      </c>
      <c r="H32" s="13">
        <f>H31+PRICER!$C$18</f>
        <v>0.40000000000000013</v>
      </c>
      <c r="I32" s="11"/>
      <c r="J32" s="12">
        <f t="shared" ca="1" si="2"/>
        <v>6.2761677401428457</v>
      </c>
      <c r="K32" s="13">
        <f>K31+PRICER!$C$19</f>
        <v>6.7500000000000032E-2</v>
      </c>
      <c r="M32" s="12"/>
      <c r="N32" s="13"/>
    </row>
    <row r="34" spans="1:13" x14ac:dyDescent="0.4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</row>
    <row r="35" spans="1:13" x14ac:dyDescent="0.4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</row>
    <row r="36" spans="1:13" x14ac:dyDescent="0.4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</row>
    <row r="37" spans="1:13" x14ac:dyDescent="0.4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</row>
    <row r="38" spans="1:13" x14ac:dyDescent="0.4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</row>
    <row r="39" spans="1:13" x14ac:dyDescent="0.4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</row>
    <row r="40" spans="1:13" x14ac:dyDescent="0.4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</row>
    <row r="41" spans="1:13" x14ac:dyDescent="0.4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</row>
    <row r="42" spans="1:13" x14ac:dyDescent="0.4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</row>
    <row r="43" spans="1:13" x14ac:dyDescent="0.4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</row>
    <row r="44" spans="1:13" x14ac:dyDescent="0.4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</row>
    <row r="45" spans="1:13" x14ac:dyDescent="0.4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</row>
    <row r="46" spans="1:13" x14ac:dyDescent="0.4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</row>
    <row r="47" spans="1:13" x14ac:dyDescent="0.4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</row>
    <row r="48" spans="1:13" x14ac:dyDescent="0.4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</row>
    <row r="49" spans="1:13" x14ac:dyDescent="0.4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</row>
    <row r="50" spans="1:13" x14ac:dyDescent="0.4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</row>
    <row r="51" spans="1:13" x14ac:dyDescent="0.4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</row>
    <row r="52" spans="1:13" x14ac:dyDescent="0.4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</row>
    <row r="53" spans="1:13" x14ac:dyDescent="0.4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</row>
    <row r="54" spans="1:13" x14ac:dyDescent="0.4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</row>
    <row r="55" spans="1:13" x14ac:dyDescent="0.4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</row>
    <row r="56" spans="1:13" x14ac:dyDescent="0.4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</row>
    <row r="57" spans="1:13" x14ac:dyDescent="0.4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</row>
    <row r="58" spans="1:13" x14ac:dyDescent="0.4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</row>
    <row r="59" spans="1:13" x14ac:dyDescent="0.4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</row>
    <row r="60" spans="1:13" x14ac:dyDescent="0.4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</row>
    <row r="61" spans="1:13" x14ac:dyDescent="0.4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</row>
    <row r="62" spans="1:13" x14ac:dyDescent="0.4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A21B5-3A61-470A-9500-358E537253AC}">
  <sheetPr codeName="Feuil3"/>
  <dimension ref="A1:Q63"/>
  <sheetViews>
    <sheetView workbookViewId="0">
      <selection activeCell="L17" sqref="L17"/>
    </sheetView>
  </sheetViews>
  <sheetFormatPr baseColWidth="10" defaultRowHeight="14.25" x14ac:dyDescent="0.45"/>
  <sheetData>
    <row r="1" spans="1:17" ht="15.75" x14ac:dyDescent="0.5">
      <c r="A1" s="10" t="s">
        <v>59</v>
      </c>
      <c r="B1" s="10" t="s">
        <v>30</v>
      </c>
      <c r="D1" s="10" t="s">
        <v>69</v>
      </c>
      <c r="E1" s="10" t="s">
        <v>18</v>
      </c>
      <c r="F1" s="10"/>
      <c r="G1" s="10" t="s">
        <v>70</v>
      </c>
      <c r="H1" s="10" t="s">
        <v>19</v>
      </c>
      <c r="I1" s="11"/>
      <c r="J1" s="10" t="s">
        <v>71</v>
      </c>
      <c r="K1" s="10" t="s">
        <v>20</v>
      </c>
      <c r="M1" s="10" t="s">
        <v>72</v>
      </c>
      <c r="N1" s="10" t="s">
        <v>1</v>
      </c>
      <c r="O1" s="10" t="s">
        <v>21</v>
      </c>
      <c r="P1" s="10" t="s">
        <v>22</v>
      </c>
      <c r="Q1" s="10" t="s">
        <v>2</v>
      </c>
    </row>
    <row r="2" spans="1:17" ht="15.75" x14ac:dyDescent="0.5">
      <c r="A2" s="12">
        <f ca="1">MAX(0,strike-B2)-putprice</f>
        <v>70.117533440814015</v>
      </c>
      <c r="B2" s="12">
        <f>B3-PRICER!$C$17</f>
        <v>25</v>
      </c>
      <c r="D2" s="12">
        <f t="shared" ref="D2:D32" ca="1" si="0">BSMPut(spot,E2,vol,rate,q,time)</f>
        <v>4.4524702666342366E-26</v>
      </c>
      <c r="E2" s="12">
        <f>E3-PRICER!$C$17</f>
        <v>25</v>
      </c>
      <c r="F2" s="12"/>
      <c r="G2" s="12">
        <f t="shared" ref="G2:G32" ca="1" si="1">BSMPut(spot,strike,H2,rate,q,time)</f>
        <v>1.7217432802003216</v>
      </c>
      <c r="H2" s="13">
        <f>H3-PRICER!$C$18</f>
        <v>9.9999999999999908E-2</v>
      </c>
      <c r="I2" s="11"/>
      <c r="J2" s="12">
        <f t="shared" ref="J2:J32" ca="1" si="2">BSMPut(spot,strike,vol,K2,q,time)</f>
        <v>5.4331705905237015</v>
      </c>
      <c r="K2" s="13">
        <f>K3-PRICER!$C$19</f>
        <v>-7.4999999999999997E-3</v>
      </c>
      <c r="M2" s="12" t="e">
        <f t="shared" ref="M2:M25" ca="1" si="3">BSMPut(spot,strike,vol,rate,q,N2)</f>
        <v>#VALUE!</v>
      </c>
      <c r="N2" s="13">
        <f t="shared" ref="N2:N16" ca="1" si="4">(Q2-TODAY())/365</f>
        <v>-0.11780821917808219</v>
      </c>
      <c r="O2">
        <f>PRICER!$C$7</f>
        <v>2018</v>
      </c>
      <c r="P2">
        <v>1</v>
      </c>
      <c r="Q2" s="14">
        <f>DATE(O2,P2,1+7*3)-WEEKDAY(DATE(O2,P2,8-7))</f>
        <v>43120</v>
      </c>
    </row>
    <row r="3" spans="1:17" ht="15.75" x14ac:dyDescent="0.5">
      <c r="A3" s="12">
        <f ca="1">MAX(0,strike-B3)-putprice</f>
        <v>65.117533440814015</v>
      </c>
      <c r="B3" s="12">
        <f>B4-PRICER!$C$17</f>
        <v>30</v>
      </c>
      <c r="D3" s="12">
        <f t="shared" ca="1" si="0"/>
        <v>4.0074945621733327E-20</v>
      </c>
      <c r="E3" s="12">
        <f>E4-PRICER!$C$17</f>
        <v>30</v>
      </c>
      <c r="F3" s="12"/>
      <c r="G3" s="12">
        <f t="shared" ca="1" si="1"/>
        <v>1.9312467876559722</v>
      </c>
      <c r="H3" s="13">
        <f>H4-PRICER!$C$18</f>
        <v>0.1099999999999999</v>
      </c>
      <c r="I3" s="11"/>
      <c r="J3" s="12">
        <f t="shared" ca="1" si="2"/>
        <v>5.3952136695043933</v>
      </c>
      <c r="K3" s="13">
        <f>K4-PRICER!$C$19</f>
        <v>-5.0000000000000001E-3</v>
      </c>
      <c r="M3" s="12" t="e">
        <f t="shared" ca="1" si="3"/>
        <v>#VALUE!</v>
      </c>
      <c r="N3" s="13">
        <f t="shared" ca="1" si="4"/>
        <v>-4.1095890410958902E-2</v>
      </c>
      <c r="O3">
        <f>PRICER!$C$7</f>
        <v>2018</v>
      </c>
      <c r="P3">
        <v>2</v>
      </c>
      <c r="Q3" s="14">
        <f>DATE(O3,P3,1+7*3)-WEEKDAY(DATE(O3,P3,8-7))</f>
        <v>43148</v>
      </c>
    </row>
    <row r="4" spans="1:17" ht="15.75" x14ac:dyDescent="0.5">
      <c r="A4" s="12">
        <f ca="1">MAX(0,strike-B4)-putprice</f>
        <v>60.117533440814015</v>
      </c>
      <c r="B4" s="12">
        <f>B5-PRICER!$C$17</f>
        <v>35</v>
      </c>
      <c r="D4" s="12">
        <f t="shared" ca="1" si="0"/>
        <v>1.0434032890516619E-15</v>
      </c>
      <c r="E4" s="12">
        <f>E5-PRICER!$C$17</f>
        <v>35</v>
      </c>
      <c r="F4" s="12"/>
      <c r="G4" s="12">
        <f t="shared" ca="1" si="1"/>
        <v>2.1411412314054701</v>
      </c>
      <c r="H4" s="13">
        <f>H5-PRICER!$C$18</f>
        <v>0.1199999999999999</v>
      </c>
      <c r="I4" s="11"/>
      <c r="J4" s="12">
        <f t="shared" ca="1" si="2"/>
        <v>5.3574351756410792</v>
      </c>
      <c r="K4" s="13">
        <f>K5-PRICER!$C$19</f>
        <v>-2.5000000000000001E-3</v>
      </c>
      <c r="M4" s="12">
        <f t="shared" ca="1" si="3"/>
        <v>1.8281480108517343</v>
      </c>
      <c r="N4" s="13">
        <f t="shared" ca="1" si="4"/>
        <v>3.5616438356164383E-2</v>
      </c>
      <c r="O4">
        <f>PRICER!$C$7</f>
        <v>2018</v>
      </c>
      <c r="P4">
        <v>3</v>
      </c>
      <c r="Q4" s="14">
        <f t="shared" ref="Q4:Q25" si="5">DATE(O4,P4,1+7*3)-WEEKDAY(DATE(O4,P4,8-7))</f>
        <v>43176</v>
      </c>
    </row>
    <row r="5" spans="1:17" ht="15.75" x14ac:dyDescent="0.5">
      <c r="A5" s="12">
        <f ca="1">MAX(0,strike-B5)-putprice</f>
        <v>55.117533440814015</v>
      </c>
      <c r="B5" s="12">
        <f>B6-PRICER!$C$17</f>
        <v>40</v>
      </c>
      <c r="D5" s="12">
        <f t="shared" ca="1" si="0"/>
        <v>2.4435300037153098E-12</v>
      </c>
      <c r="E5" s="12">
        <f>E6-PRICER!$C$17</f>
        <v>40</v>
      </c>
      <c r="F5" s="12"/>
      <c r="G5" s="12">
        <f t="shared" ca="1" si="1"/>
        <v>2.3513315978495442</v>
      </c>
      <c r="H5" s="13">
        <f>H6-PRICER!$C$18</f>
        <v>0.12999999999999989</v>
      </c>
      <c r="I5" s="11"/>
      <c r="J5" s="12">
        <f t="shared" ca="1" si="2"/>
        <v>5.3198349344354483</v>
      </c>
      <c r="K5" s="13">
        <f>K6-PRICER!$C$19</f>
        <v>0</v>
      </c>
      <c r="M5" s="12">
        <f t="shared" ca="1" si="3"/>
        <v>3.4149838960736645</v>
      </c>
      <c r="N5" s="13">
        <f t="shared" ca="1" si="4"/>
        <v>0.13150684931506848</v>
      </c>
      <c r="O5">
        <f>PRICER!$C$7</f>
        <v>2018</v>
      </c>
      <c r="P5">
        <v>4</v>
      </c>
      <c r="Q5" s="14">
        <f t="shared" si="5"/>
        <v>43211</v>
      </c>
    </row>
    <row r="6" spans="1:17" ht="15.75" x14ac:dyDescent="0.5">
      <c r="A6" s="12">
        <f ca="1">MAX(0,strike-B6)-putprice</f>
        <v>50.117533440814015</v>
      </c>
      <c r="B6" s="12">
        <f>B7-PRICER!$C$17</f>
        <v>45</v>
      </c>
      <c r="D6" s="12">
        <f t="shared" ca="1" si="0"/>
        <v>1.027909839145001E-9</v>
      </c>
      <c r="E6" s="12">
        <f>E7-PRICER!$C$17</f>
        <v>45</v>
      </c>
      <c r="F6" s="12"/>
      <c r="G6" s="12">
        <f t="shared" ca="1" si="1"/>
        <v>2.5617494166194419</v>
      </c>
      <c r="H6" s="13">
        <f>H7-PRICER!$C$18</f>
        <v>0.1399999999999999</v>
      </c>
      <c r="I6" s="11"/>
      <c r="J6" s="12">
        <f t="shared" ca="1" si="2"/>
        <v>5.2824127672172807</v>
      </c>
      <c r="K6" s="13">
        <f>K7-PRICER!$C$19</f>
        <v>2.5000000000000027E-3</v>
      </c>
      <c r="M6" s="12">
        <f t="shared" ca="1" si="3"/>
        <v>4.2298424895795321</v>
      </c>
      <c r="N6" s="13">
        <f t="shared" ca="1" si="4"/>
        <v>0.20821917808219179</v>
      </c>
      <c r="O6">
        <f>PRICER!$C$7</f>
        <v>2018</v>
      </c>
      <c r="P6">
        <v>5</v>
      </c>
      <c r="Q6" s="14">
        <f t="shared" si="5"/>
        <v>43239</v>
      </c>
    </row>
    <row r="7" spans="1:17" ht="15.75" x14ac:dyDescent="0.5">
      <c r="A7" s="12">
        <f ca="1">MAX(0,strike-B7)-putprice</f>
        <v>45.117533440814015</v>
      </c>
      <c r="B7" s="12">
        <f>B8-PRICER!$C$17</f>
        <v>50</v>
      </c>
      <c r="D7" s="12">
        <f t="shared" ca="1" si="0"/>
        <v>1.2166399538646638E-7</v>
      </c>
      <c r="E7" s="12">
        <f>E8-PRICER!$C$17</f>
        <v>50</v>
      </c>
      <c r="F7" s="12"/>
      <c r="G7" s="12">
        <f t="shared" ca="1" si="1"/>
        <v>2.7723439750952892</v>
      </c>
      <c r="H7" s="13">
        <f>H8-PRICER!$C$18</f>
        <v>0.14999999999999991</v>
      </c>
      <c r="I7" s="11"/>
      <c r="J7" s="12">
        <f t="shared" ca="1" si="2"/>
        <v>5.245168491151766</v>
      </c>
      <c r="K7" s="13">
        <f>K8-PRICER!$C$19</f>
        <v>5.0000000000000027E-3</v>
      </c>
      <c r="M7" s="12">
        <f t="shared" ca="1" si="3"/>
        <v>4.8824665591859855</v>
      </c>
      <c r="N7" s="13">
        <f t="shared" ca="1" si="4"/>
        <v>0.28493150684931506</v>
      </c>
      <c r="O7">
        <f>PRICER!$C$7</f>
        <v>2018</v>
      </c>
      <c r="P7">
        <v>6</v>
      </c>
      <c r="Q7" s="14">
        <f t="shared" si="5"/>
        <v>43267</v>
      </c>
    </row>
    <row r="8" spans="1:17" ht="15.75" x14ac:dyDescent="0.5">
      <c r="A8" s="12">
        <f ca="1">MAX(0,strike-B8)-putprice</f>
        <v>40.117533440814015</v>
      </c>
      <c r="B8" s="12">
        <f>B9-PRICER!$C$17</f>
        <v>55</v>
      </c>
      <c r="D8" s="12">
        <f t="shared" ca="1" si="0"/>
        <v>5.4994628384082611E-6</v>
      </c>
      <c r="E8" s="12">
        <f>E9-PRICER!$C$17</f>
        <v>55</v>
      </c>
      <c r="F8" s="12"/>
      <c r="G8" s="12">
        <f t="shared" ca="1" si="1"/>
        <v>2.9830768029512384</v>
      </c>
      <c r="H8" s="13">
        <f>H9-PRICER!$C$18</f>
        <v>0.15999999999999992</v>
      </c>
      <c r="I8" s="11"/>
      <c r="J8" s="12">
        <f t="shared" ca="1" si="2"/>
        <v>5.2081019192474116</v>
      </c>
      <c r="K8" s="13">
        <f>K9-PRICER!$C$19</f>
        <v>7.5000000000000032E-3</v>
      </c>
      <c r="M8" s="12">
        <f t="shared" ca="1" si="3"/>
        <v>5.5624772651548824</v>
      </c>
      <c r="N8" s="13">
        <f t="shared" ca="1" si="4"/>
        <v>0.38082191780821917</v>
      </c>
      <c r="O8">
        <f>PRICER!$C$7</f>
        <v>2018</v>
      </c>
      <c r="P8">
        <v>7</v>
      </c>
      <c r="Q8" s="14">
        <f t="shared" si="5"/>
        <v>43302</v>
      </c>
    </row>
    <row r="9" spans="1:17" ht="15.75" x14ac:dyDescent="0.5">
      <c r="A9" s="12">
        <f ca="1">MAX(0,strike-B9)-putprice</f>
        <v>35.117533440814015</v>
      </c>
      <c r="B9" s="12">
        <f>B10-PRICER!$C$17</f>
        <v>60</v>
      </c>
      <c r="D9" s="12">
        <f t="shared" ca="1" si="0"/>
        <v>1.1784374156938388E-4</v>
      </c>
      <c r="E9" s="12">
        <f>E10-PRICER!$C$17</f>
        <v>60</v>
      </c>
      <c r="F9" s="12"/>
      <c r="G9" s="12">
        <f t="shared" ca="1" si="1"/>
        <v>3.1939180907350391</v>
      </c>
      <c r="H9" s="13">
        <f>H10-PRICER!$C$18</f>
        <v>0.16999999999999993</v>
      </c>
      <c r="I9" s="11"/>
      <c r="J9" s="12">
        <f t="shared" ca="1" si="2"/>
        <v>5.1712128603639371</v>
      </c>
      <c r="K9" s="13">
        <f>K10-PRICER!$C$19</f>
        <v>1.0000000000000004E-2</v>
      </c>
      <c r="M9" s="12">
        <f t="shared" ca="1" si="3"/>
        <v>6.0326516878682597</v>
      </c>
      <c r="N9" s="13">
        <f t="shared" ca="1" si="4"/>
        <v>0.45753424657534247</v>
      </c>
      <c r="O9">
        <f>PRICER!$C$7</f>
        <v>2018</v>
      </c>
      <c r="P9">
        <v>8</v>
      </c>
      <c r="Q9" s="14">
        <f t="shared" si="5"/>
        <v>43330</v>
      </c>
    </row>
    <row r="10" spans="1:17" ht="15.75" x14ac:dyDescent="0.5">
      <c r="A10" s="12">
        <f ca="1">MAX(0,strike-B10)-putprice</f>
        <v>30.117533440814015</v>
      </c>
      <c r="B10" s="12">
        <f>B11-PRICER!$C$17</f>
        <v>65</v>
      </c>
      <c r="D10" s="12">
        <f t="shared" ca="1" si="0"/>
        <v>1.4018353502470854E-3</v>
      </c>
      <c r="E10" s="12">
        <f>E11-PRICER!$C$17</f>
        <v>65</v>
      </c>
      <c r="F10" s="12"/>
      <c r="G10" s="12">
        <f t="shared" ca="1" si="1"/>
        <v>3.4048442954770266</v>
      </c>
      <c r="H10" s="13">
        <f>H11-PRICER!$C$18</f>
        <v>0.17999999999999994</v>
      </c>
      <c r="I10" s="11"/>
      <c r="J10" s="12">
        <f t="shared" ca="1" si="2"/>
        <v>5.1345011192208716</v>
      </c>
      <c r="K10" s="13">
        <f>K11-PRICER!$C$19</f>
        <v>1.2500000000000004E-2</v>
      </c>
      <c r="M10" s="12">
        <f t="shared" ca="1" si="3"/>
        <v>6.4545889943875281</v>
      </c>
      <c r="N10" s="13">
        <f t="shared" ca="1" si="4"/>
        <v>0.53424657534246578</v>
      </c>
      <c r="O10">
        <f>PRICER!$C$7</f>
        <v>2018</v>
      </c>
      <c r="P10">
        <v>9</v>
      </c>
      <c r="Q10" s="14">
        <f t="shared" si="5"/>
        <v>43358</v>
      </c>
    </row>
    <row r="11" spans="1:17" ht="15.75" x14ac:dyDescent="0.5">
      <c r="A11" s="12">
        <f ca="1">MAX(0,strike-B11)-putprice</f>
        <v>25.117533440814015</v>
      </c>
      <c r="B11" s="12">
        <f>B12-PRICER!$C$17</f>
        <v>70</v>
      </c>
      <c r="D11" s="12">
        <f t="shared" ca="1" si="0"/>
        <v>1.0422370998013741E-2</v>
      </c>
      <c r="E11" s="12">
        <f>E12-PRICER!$C$17</f>
        <v>70</v>
      </c>
      <c r="F11" s="12"/>
      <c r="G11" s="12">
        <f t="shared" ca="1" si="1"/>
        <v>3.6158364986266562</v>
      </c>
      <c r="H11" s="13">
        <f>H12-PRICER!$C$18</f>
        <v>0.18999999999999995</v>
      </c>
      <c r="I11" s="11"/>
      <c r="J11" s="12">
        <f t="shared" ca="1" si="2"/>
        <v>5.0979664964063787</v>
      </c>
      <c r="K11" s="13">
        <f>K12-PRICER!$C$19</f>
        <v>1.5000000000000005E-2</v>
      </c>
      <c r="M11" s="12">
        <f t="shared" ca="1" si="3"/>
        <v>6.929197992291698</v>
      </c>
      <c r="N11" s="13">
        <f t="shared" ca="1" si="4"/>
        <v>0.63013698630136983</v>
      </c>
      <c r="O11">
        <f>PRICER!$C$7</f>
        <v>2018</v>
      </c>
      <c r="P11">
        <v>10</v>
      </c>
      <c r="Q11" s="14">
        <f t="shared" si="5"/>
        <v>43393</v>
      </c>
    </row>
    <row r="12" spans="1:17" ht="15.75" x14ac:dyDescent="0.5">
      <c r="A12" s="12">
        <f ca="1">MAX(0,strike-B12)-putprice</f>
        <v>20.117533440814015</v>
      </c>
      <c r="B12" s="12">
        <f>B13-PRICER!$C$17</f>
        <v>75</v>
      </c>
      <c r="D12" s="12">
        <f t="shared" ca="1" si="0"/>
        <v>5.3049309553714119E-2</v>
      </c>
      <c r="E12" s="12">
        <f>E13-PRICER!$C$17</f>
        <v>75</v>
      </c>
      <c r="F12" s="12"/>
      <c r="G12" s="12">
        <f t="shared" ca="1" si="1"/>
        <v>3.8268792544065846</v>
      </c>
      <c r="H12" s="13">
        <f>H13-PRICER!$C$18</f>
        <v>0.19999999999999996</v>
      </c>
      <c r="I12" s="11"/>
      <c r="J12" s="12">
        <f t="shared" ca="1" si="2"/>
        <v>5.0616087883863585</v>
      </c>
      <c r="K12" s="13">
        <f>K13-PRICER!$C$19</f>
        <v>1.7500000000000005E-2</v>
      </c>
      <c r="M12" s="12">
        <f t="shared" ca="1" si="3"/>
        <v>7.2748292897790137</v>
      </c>
      <c r="N12" s="13">
        <f t="shared" ca="1" si="4"/>
        <v>0.70684931506849313</v>
      </c>
      <c r="O12">
        <f>PRICER!$C$7</f>
        <v>2018</v>
      </c>
      <c r="P12">
        <v>11</v>
      </c>
      <c r="Q12" s="14">
        <f t="shared" si="5"/>
        <v>43421</v>
      </c>
    </row>
    <row r="13" spans="1:17" ht="15.75" x14ac:dyDescent="0.5">
      <c r="A13" s="12">
        <f ca="1">MAX(0,strike-B13)-putprice</f>
        <v>15.117533440814015</v>
      </c>
      <c r="B13" s="12">
        <f>B14-PRICER!$C$17</f>
        <v>80</v>
      </c>
      <c r="D13" s="12">
        <f t="shared" ca="1" si="0"/>
        <v>0.19855973568962071</v>
      </c>
      <c r="E13" s="12">
        <f>E14-PRICER!$C$17</f>
        <v>80</v>
      </c>
      <c r="F13" s="12"/>
      <c r="G13" s="12">
        <f t="shared" ca="1" si="1"/>
        <v>4.0379597658920972</v>
      </c>
      <c r="H13" s="13">
        <f>H14-PRICER!$C$18</f>
        <v>0.20999999999999996</v>
      </c>
      <c r="I13" s="11"/>
      <c r="J13" s="12">
        <f t="shared" ca="1" si="2"/>
        <v>5.0254277875140687</v>
      </c>
      <c r="K13" s="13">
        <f>K14-PRICER!$C$19</f>
        <v>2.0000000000000004E-2</v>
      </c>
      <c r="M13" s="12">
        <f t="shared" ca="1" si="3"/>
        <v>7.5954105267220484</v>
      </c>
      <c r="N13" s="13">
        <f t="shared" ca="1" si="4"/>
        <v>0.78356164383561644</v>
      </c>
      <c r="O13">
        <f>PRICER!$C$7</f>
        <v>2018</v>
      </c>
      <c r="P13">
        <v>12</v>
      </c>
      <c r="Q13" s="14">
        <f t="shared" si="5"/>
        <v>43449</v>
      </c>
    </row>
    <row r="14" spans="1:17" ht="15.75" x14ac:dyDescent="0.5">
      <c r="A14" s="12">
        <f ca="1">MAX(0,strike-B14)-putprice</f>
        <v>10.117533440814015</v>
      </c>
      <c r="B14" s="12">
        <f>B15-PRICER!$C$17</f>
        <v>85</v>
      </c>
      <c r="D14" s="12">
        <f t="shared" ca="1" si="0"/>
        <v>0.57867113766766032</v>
      </c>
      <c r="E14" s="12">
        <f>E15-PRICER!$C$17</f>
        <v>85</v>
      </c>
      <c r="F14" s="12"/>
      <c r="G14" s="12">
        <f t="shared" ca="1" si="1"/>
        <v>4.2490672849877811</v>
      </c>
      <c r="H14" s="13">
        <f>H15-PRICER!$C$18</f>
        <v>0.21999999999999997</v>
      </c>
      <c r="I14" s="11"/>
      <c r="J14" s="12">
        <f t="shared" ca="1" si="2"/>
        <v>4.9894232820399225</v>
      </c>
      <c r="K14" s="13">
        <f>K15-PRICER!$C$19</f>
        <v>2.2500000000000003E-2</v>
      </c>
      <c r="M14" s="12">
        <f t="shared" ca="1" si="3"/>
        <v>7.9663031700873717</v>
      </c>
      <c r="N14" s="13">
        <f t="shared" ca="1" si="4"/>
        <v>0.8794520547945206</v>
      </c>
      <c r="O14">
        <f>PRICER!$C$7+1</f>
        <v>2019</v>
      </c>
      <c r="P14">
        <v>1</v>
      </c>
      <c r="Q14" s="14">
        <f t="shared" si="5"/>
        <v>43484</v>
      </c>
    </row>
    <row r="15" spans="1:17" ht="15.75" x14ac:dyDescent="0.5">
      <c r="A15" s="12">
        <f ca="1">MAX(0,strike-B15)-putprice</f>
        <v>5.1175334408140145</v>
      </c>
      <c r="B15" s="12">
        <f>B16-PRICER!$C$17</f>
        <v>90</v>
      </c>
      <c r="D15" s="12">
        <f t="shared" ca="1" si="0"/>
        <v>1.3755458309382433</v>
      </c>
      <c r="E15" s="12">
        <f>E16-PRICER!$C$17</f>
        <v>90</v>
      </c>
      <c r="F15" s="12"/>
      <c r="G15" s="12">
        <f t="shared" ca="1" si="1"/>
        <v>4.4601926684241278</v>
      </c>
      <c r="H15" s="13">
        <f>H16-PRICER!$C$18</f>
        <v>0.22999999999999998</v>
      </c>
      <c r="I15" s="11"/>
      <c r="J15" s="12">
        <f t="shared" ca="1" si="2"/>
        <v>4.9535950561217561</v>
      </c>
      <c r="K15" s="13">
        <f>K16-PRICER!$C$19</f>
        <v>2.5000000000000001E-2</v>
      </c>
      <c r="M15" s="12">
        <f t="shared" ca="1" si="3"/>
        <v>8.2424800343296525</v>
      </c>
      <c r="N15" s="13">
        <f t="shared" ca="1" si="4"/>
        <v>0.95616438356164379</v>
      </c>
      <c r="O15">
        <f>PRICER!$C$7+1</f>
        <v>2019</v>
      </c>
      <c r="P15">
        <v>2</v>
      </c>
      <c r="Q15" s="14">
        <f t="shared" si="5"/>
        <v>43512</v>
      </c>
    </row>
    <row r="16" spans="1:17" ht="15.75" x14ac:dyDescent="0.5">
      <c r="A16" s="12">
        <f ca="1">MAX(0,strike-B16)-putprice</f>
        <v>0.11753344081401451</v>
      </c>
      <c r="B16" s="12">
        <f>B17-PRICER!$C$17</f>
        <v>95</v>
      </c>
      <c r="D16" s="12">
        <f t="shared" ca="1" si="0"/>
        <v>2.7708925559310522</v>
      </c>
      <c r="E16" s="12">
        <f>E17-PRICER!$C$17</f>
        <v>95</v>
      </c>
      <c r="F16" s="12"/>
      <c r="G16" s="12">
        <f t="shared" ca="1" si="1"/>
        <v>4.6713280444290746</v>
      </c>
      <c r="H16" s="13">
        <f>H17-PRICER!$C$18</f>
        <v>0.24</v>
      </c>
      <c r="I16" s="11"/>
      <c r="J16" s="12">
        <f t="shared" ca="1" si="2"/>
        <v>4.9179428898355084</v>
      </c>
      <c r="K16" s="13">
        <f>K17-PRICER!$C$19</f>
        <v>2.75E-2</v>
      </c>
      <c r="M16" s="12">
        <f t="shared" ca="1" si="3"/>
        <v>8.5027410256784677</v>
      </c>
      <c r="N16" s="13">
        <f t="shared" ca="1" si="4"/>
        <v>1.0328767123287672</v>
      </c>
      <c r="O16">
        <f>PRICER!$C$7+1</f>
        <v>2019</v>
      </c>
      <c r="P16">
        <v>3</v>
      </c>
      <c r="Q16" s="14">
        <f t="shared" si="5"/>
        <v>43540</v>
      </c>
    </row>
    <row r="17" spans="1:17" ht="15.75" x14ac:dyDescent="0.5">
      <c r="A17" s="12">
        <f ca="1">MAX(0,strike-B17)-putprice</f>
        <v>-4.8824665591859855</v>
      </c>
      <c r="B17" s="23">
        <f>spot</f>
        <v>100</v>
      </c>
      <c r="D17" s="12">
        <f t="shared" ca="1" si="0"/>
        <v>4.8824665591859855</v>
      </c>
      <c r="E17" s="23">
        <f>strike</f>
        <v>100</v>
      </c>
      <c r="F17" s="12"/>
      <c r="G17" s="12">
        <f t="shared" ca="1" si="1"/>
        <v>4.8824665591859855</v>
      </c>
      <c r="H17" s="24">
        <f>vol</f>
        <v>0.25</v>
      </c>
      <c r="I17" s="11"/>
      <c r="J17" s="12">
        <f t="shared" ca="1" si="2"/>
        <v>4.8824665591859855</v>
      </c>
      <c r="K17" s="24">
        <f>rate</f>
        <v>0.03</v>
      </c>
      <c r="M17" s="12">
        <f t="shared" ca="1" si="3"/>
        <v>8.8083086390211776</v>
      </c>
      <c r="N17" s="13">
        <f ca="1">(Q17-TODAY())/365</f>
        <v>1.1287671232876713</v>
      </c>
      <c r="O17">
        <f>PRICER!$C$7+1</f>
        <v>2019</v>
      </c>
      <c r="P17">
        <v>4</v>
      </c>
      <c r="Q17" s="14">
        <f t="shared" si="5"/>
        <v>43575</v>
      </c>
    </row>
    <row r="18" spans="1:17" ht="15.75" x14ac:dyDescent="0.5">
      <c r="A18" s="12">
        <f ca="1">MAX(0,strike-B18)-putprice</f>
        <v>-4.8824665591859855</v>
      </c>
      <c r="B18" s="12">
        <f>B17+PRICER!$C$17</f>
        <v>105</v>
      </c>
      <c r="D18" s="12">
        <f t="shared" ca="1" si="0"/>
        <v>7.7267986385182041</v>
      </c>
      <c r="E18" s="12">
        <f>E17+PRICER!$C$17</f>
        <v>105</v>
      </c>
      <c r="F18" s="12"/>
      <c r="G18" s="12">
        <f t="shared" ca="1" si="1"/>
        <v>5.0936021816606356</v>
      </c>
      <c r="H18" s="13">
        <f>H17+PRICER!$C$18</f>
        <v>0.26</v>
      </c>
      <c r="I18" s="11"/>
      <c r="J18" s="12">
        <f t="shared" ca="1" si="2"/>
        <v>4.8471658361183216</v>
      </c>
      <c r="K18" s="13">
        <f>K17+PRICER!$C$19</f>
        <v>3.2500000000000001E-2</v>
      </c>
      <c r="M18" s="12">
        <f t="shared" ca="1" si="3"/>
        <v>9.0386809007364377</v>
      </c>
      <c r="N18" s="13">
        <f t="shared" ref="N18:N25" ca="1" si="6">(Q18-TODAY())/365</f>
        <v>1.2054794520547945</v>
      </c>
      <c r="O18">
        <f>PRICER!$C$7+1</f>
        <v>2019</v>
      </c>
      <c r="P18">
        <v>5</v>
      </c>
      <c r="Q18" s="14">
        <f t="shared" si="5"/>
        <v>43603</v>
      </c>
    </row>
    <row r="19" spans="1:17" ht="15.75" x14ac:dyDescent="0.5">
      <c r="A19" s="12">
        <f ca="1">MAX(0,strike-B19)-putprice</f>
        <v>-4.8824665591859855</v>
      </c>
      <c r="B19" s="12">
        <f>B18+PRICER!$C$17</f>
        <v>110</v>
      </c>
      <c r="D19" s="12">
        <f t="shared" ca="1" si="0"/>
        <v>11.225829478764183</v>
      </c>
      <c r="E19" s="12">
        <f>E18+PRICER!$C$17</f>
        <v>110</v>
      </c>
      <c r="F19" s="12"/>
      <c r="G19" s="12">
        <f t="shared" ca="1" si="1"/>
        <v>5.3047295517059823</v>
      </c>
      <c r="H19" s="13">
        <f>H18+PRICER!$C$18</f>
        <v>0.27</v>
      </c>
      <c r="I19" s="11"/>
      <c r="J19" s="12">
        <f t="shared" ca="1" si="2"/>
        <v>4.8120404885294548</v>
      </c>
      <c r="K19" s="13">
        <f>K18+PRICER!$C$19</f>
        <v>3.5000000000000003E-2</v>
      </c>
      <c r="M19" s="12">
        <f t="shared" ca="1" si="3"/>
        <v>9.2578141517694377</v>
      </c>
      <c r="N19" s="13">
        <f t="shared" ca="1" si="6"/>
        <v>1.2821917808219179</v>
      </c>
      <c r="O19">
        <f>PRICER!$C$7+1</f>
        <v>2019</v>
      </c>
      <c r="P19">
        <v>6</v>
      </c>
      <c r="Q19" s="14">
        <f t="shared" si="5"/>
        <v>43631</v>
      </c>
    </row>
    <row r="20" spans="1:17" ht="15.75" x14ac:dyDescent="0.5">
      <c r="A20" s="12">
        <f ca="1">MAX(0,strike-B20)-putprice</f>
        <v>-4.8824665591859855</v>
      </c>
      <c r="B20" s="12">
        <f>B19+PRICER!$C$17</f>
        <v>115</v>
      </c>
      <c r="D20" s="12">
        <f t="shared" ca="1" si="0"/>
        <v>15.244991113243813</v>
      </c>
      <c r="E20" s="12">
        <f>E19+PRICER!$C$17</f>
        <v>115</v>
      </c>
      <c r="F20" s="12"/>
      <c r="G20" s="12">
        <f t="shared" ca="1" si="1"/>
        <v>5.5158438606525522</v>
      </c>
      <c r="H20" s="13">
        <f>H19+PRICER!$C$18</f>
        <v>0.28000000000000003</v>
      </c>
      <c r="I20" s="11"/>
      <c r="J20" s="12">
        <f t="shared" ca="1" si="2"/>
        <v>4.7770902802802695</v>
      </c>
      <c r="K20" s="13">
        <f>K19+PRICER!$C$19</f>
        <v>3.7500000000000006E-2</v>
      </c>
      <c r="M20" s="12">
        <f t="shared" ca="1" si="3"/>
        <v>9.517428750390593</v>
      </c>
      <c r="N20" s="13">
        <f t="shared" ca="1" si="6"/>
        <v>1.3780821917808219</v>
      </c>
      <c r="O20">
        <f>PRICER!$C$7+1</f>
        <v>2019</v>
      </c>
      <c r="P20">
        <v>7</v>
      </c>
      <c r="Q20" s="14">
        <f t="shared" si="5"/>
        <v>43666</v>
      </c>
    </row>
    <row r="21" spans="1:17" ht="15.75" x14ac:dyDescent="0.5">
      <c r="A21" s="12">
        <f ca="1">MAX(0,strike-B21)-putprice</f>
        <v>-4.8824665591859855</v>
      </c>
      <c r="B21" s="12">
        <f>B20+PRICER!$C$17</f>
        <v>120</v>
      </c>
      <c r="D21" s="12">
        <f t="shared" ca="1" si="0"/>
        <v>19.637235836097034</v>
      </c>
      <c r="E21" s="12">
        <f>E20+PRICER!$C$17</f>
        <v>120</v>
      </c>
      <c r="F21" s="12"/>
      <c r="G21" s="12">
        <f t="shared" ca="1" si="1"/>
        <v>5.7269407565613122</v>
      </c>
      <c r="H21" s="13">
        <f>H20+PRICER!$C$18</f>
        <v>0.29000000000000004</v>
      </c>
      <c r="I21" s="11"/>
      <c r="J21" s="12">
        <f t="shared" ca="1" si="2"/>
        <v>4.7423149712077901</v>
      </c>
      <c r="K21" s="13">
        <f>K20+PRICER!$C$19</f>
        <v>4.0000000000000008E-2</v>
      </c>
      <c r="M21" s="12">
        <f t="shared" ca="1" si="3"/>
        <v>9.7147058483554147</v>
      </c>
      <c r="N21" s="13">
        <f t="shared" ca="1" si="6"/>
        <v>1.4547945205479451</v>
      </c>
      <c r="O21">
        <f>PRICER!$C$7+1</f>
        <v>2019</v>
      </c>
      <c r="P21">
        <v>8</v>
      </c>
      <c r="Q21" s="14">
        <f t="shared" si="5"/>
        <v>43694</v>
      </c>
    </row>
    <row r="22" spans="1:17" ht="15.75" x14ac:dyDescent="0.5">
      <c r="A22" s="12">
        <f ca="1">MAX(0,strike-B22)-putprice</f>
        <v>-4.8824665591859855</v>
      </c>
      <c r="B22" s="12">
        <f>B21+PRICER!$C$17</f>
        <v>125</v>
      </c>
      <c r="D22" s="12">
        <f t="shared" ca="1" si="0"/>
        <v>24.274259350664025</v>
      </c>
      <c r="E22" s="12">
        <f>E21+PRICER!$C$17</f>
        <v>125</v>
      </c>
      <c r="F22" s="12"/>
      <c r="G22" s="12">
        <f t="shared" ca="1" si="1"/>
        <v>5.9380162683971207</v>
      </c>
      <c r="H22" s="13">
        <f>H21+PRICER!$C$18</f>
        <v>0.30000000000000004</v>
      </c>
      <c r="I22" s="11"/>
      <c r="J22" s="12">
        <f t="shared" ca="1" si="2"/>
        <v>4.7077143171378708</v>
      </c>
      <c r="K22" s="13">
        <f>K21+PRICER!$C$19</f>
        <v>4.250000000000001E-2</v>
      </c>
      <c r="M22" s="12">
        <f t="shared" ca="1" si="3"/>
        <v>9.949466263617154</v>
      </c>
      <c r="N22" s="13">
        <f t="shared" ca="1" si="6"/>
        <v>1.5506849315068494</v>
      </c>
      <c r="O22">
        <f>PRICER!$C$7+1</f>
        <v>2019</v>
      </c>
      <c r="P22">
        <v>9</v>
      </c>
      <c r="Q22" s="14">
        <f t="shared" si="5"/>
        <v>43729</v>
      </c>
    </row>
    <row r="23" spans="1:17" ht="15.75" x14ac:dyDescent="0.5">
      <c r="A23" s="12">
        <f ca="1">MAX(0,strike-B23)-putprice</f>
        <v>-4.8824665591859855</v>
      </c>
      <c r="B23" s="12">
        <f>B22+PRICER!$C$17</f>
        <v>130</v>
      </c>
      <c r="D23" s="12">
        <f t="shared" ca="1" si="0"/>
        <v>29.059828282976014</v>
      </c>
      <c r="E23" s="12">
        <f>E22+PRICER!$C$17</f>
        <v>130</v>
      </c>
      <c r="F23" s="12"/>
      <c r="G23" s="12">
        <f t="shared" ca="1" si="1"/>
        <v>6.1490667448588567</v>
      </c>
      <c r="H23" s="13">
        <f>H22+PRICER!$C$18</f>
        <v>0.31000000000000005</v>
      </c>
      <c r="I23" s="11"/>
      <c r="J23" s="12">
        <f t="shared" ca="1" si="2"/>
        <v>4.6732880698982768</v>
      </c>
      <c r="K23" s="13">
        <f>K22+PRICER!$C$19</f>
        <v>4.5000000000000012E-2</v>
      </c>
      <c r="M23" s="12">
        <f t="shared" ca="1" si="3"/>
        <v>10.128563424088455</v>
      </c>
      <c r="N23" s="13">
        <f t="shared" ca="1" si="6"/>
        <v>1.6273972602739726</v>
      </c>
      <c r="O23">
        <f>PRICER!$C$7+1</f>
        <v>2019</v>
      </c>
      <c r="P23">
        <v>10</v>
      </c>
      <c r="Q23" s="14">
        <f t="shared" si="5"/>
        <v>43757</v>
      </c>
    </row>
    <row r="24" spans="1:17" ht="15.75" x14ac:dyDescent="0.5">
      <c r="A24" s="12">
        <f ca="1">MAX(0,strike-B24)-putprice</f>
        <v>-4.8824665591859855</v>
      </c>
      <c r="B24" s="12">
        <f>B23+PRICER!$C$17</f>
        <v>135</v>
      </c>
      <c r="D24" s="12">
        <f t="shared" ca="1" si="0"/>
        <v>33.929580858549755</v>
      </c>
      <c r="E24" s="12">
        <f>E23+PRICER!$C$17</f>
        <v>135</v>
      </c>
      <c r="F24" s="12"/>
      <c r="G24" s="12">
        <f t="shared" ca="1" si="1"/>
        <v>6.3600888046662618</v>
      </c>
      <c r="H24" s="13">
        <f>H23+PRICER!$C$18</f>
        <v>0.32000000000000006</v>
      </c>
      <c r="I24" s="11"/>
      <c r="J24" s="12">
        <f t="shared" ca="1" si="2"/>
        <v>4.6390359773319503</v>
      </c>
      <c r="K24" s="13">
        <f>K23+PRICER!$C$19</f>
        <v>4.7500000000000014E-2</v>
      </c>
      <c r="M24" s="12">
        <f t="shared" ca="1" si="3"/>
        <v>10.300507636575965</v>
      </c>
      <c r="N24" s="13">
        <f t="shared" ca="1" si="6"/>
        <v>1.704109589041096</v>
      </c>
      <c r="O24">
        <f>PRICER!$C$7+1</f>
        <v>2019</v>
      </c>
      <c r="P24">
        <v>11</v>
      </c>
      <c r="Q24" s="14">
        <f t="shared" si="5"/>
        <v>43785</v>
      </c>
    </row>
    <row r="25" spans="1:17" ht="15.75" x14ac:dyDescent="0.5">
      <c r="A25" s="12">
        <f ca="1">MAX(0,strike-B25)-putprice</f>
        <v>-4.8824665591859855</v>
      </c>
      <c r="B25" s="12">
        <f>B24+PRICER!$C$17</f>
        <v>140</v>
      </c>
      <c r="D25" s="12">
        <f t="shared" ca="1" si="0"/>
        <v>38.844257408696578</v>
      </c>
      <c r="E25" s="12">
        <f>E24+PRICER!$C$17</f>
        <v>140</v>
      </c>
      <c r="F25" s="12"/>
      <c r="G25" s="12">
        <f t="shared" ca="1" si="1"/>
        <v>6.5710792958775812</v>
      </c>
      <c r="H25" s="13">
        <f>H24+PRICER!$C$18</f>
        <v>0.33000000000000007</v>
      </c>
      <c r="I25" s="11"/>
      <c r="J25" s="12">
        <f t="shared" ca="1" si="2"/>
        <v>4.6049577833106952</v>
      </c>
      <c r="K25" s="13">
        <f>K24+PRICER!$C$19</f>
        <v>5.0000000000000017E-2</v>
      </c>
      <c r="M25" s="12">
        <f t="shared" ca="1" si="3"/>
        <v>10.506106493666167</v>
      </c>
      <c r="N25" s="13">
        <f t="shared" ca="1" si="6"/>
        <v>1.8</v>
      </c>
      <c r="O25">
        <f>PRICER!$C$7+1</f>
        <v>2019</v>
      </c>
      <c r="P25">
        <v>12</v>
      </c>
      <c r="Q25" s="14">
        <f t="shared" si="5"/>
        <v>43820</v>
      </c>
    </row>
    <row r="26" spans="1:17" ht="15.75" x14ac:dyDescent="0.5">
      <c r="A26" s="12">
        <f ca="1">MAX(0,strike-B26)-putprice</f>
        <v>-4.8824665591859855</v>
      </c>
      <c r="B26" s="12">
        <f>B25+PRICER!$C$17</f>
        <v>145</v>
      </c>
      <c r="D26" s="12">
        <f t="shared" ca="1" si="0"/>
        <v>43.781670917118731</v>
      </c>
      <c r="E26" s="12">
        <f>E25+PRICER!$C$17</f>
        <v>145</v>
      </c>
      <c r="F26" s="12"/>
      <c r="G26" s="12">
        <f t="shared" ca="1" si="1"/>
        <v>6.7820352623815623</v>
      </c>
      <c r="H26" s="13">
        <f>H25+PRICER!$C$18</f>
        <v>0.34000000000000008</v>
      </c>
      <c r="I26" s="11"/>
      <c r="J26" s="12">
        <f t="shared" ca="1" si="2"/>
        <v>4.5710532277492533</v>
      </c>
      <c r="K26" s="13">
        <f>K25+PRICER!$C$19</f>
        <v>5.2500000000000019E-2</v>
      </c>
      <c r="M26" s="12"/>
      <c r="N26" s="13"/>
    </row>
    <row r="27" spans="1:17" ht="15.75" x14ac:dyDescent="0.5">
      <c r="A27" s="12">
        <f ca="1">MAX(0,strike-B27)-putprice</f>
        <v>-4.8824665591859855</v>
      </c>
      <c r="B27" s="12">
        <f>B26+PRICER!$C$17</f>
        <v>150</v>
      </c>
      <c r="D27" s="12">
        <f t="shared" ca="1" si="0"/>
        <v>48.730067101624513</v>
      </c>
      <c r="E27" s="12">
        <f>E26+PRICER!$C$17</f>
        <v>150</v>
      </c>
      <c r="F27" s="12"/>
      <c r="G27" s="12">
        <f t="shared" ca="1" si="1"/>
        <v>6.9929539161316043</v>
      </c>
      <c r="H27" s="13">
        <f>H26+PRICER!$C$18</f>
        <v>0.35000000000000009</v>
      </c>
      <c r="I27" s="11"/>
      <c r="J27" s="12">
        <f t="shared" ca="1" si="2"/>
        <v>4.5373220466196145</v>
      </c>
      <c r="K27" s="13">
        <f>K26+PRICER!$C$19</f>
        <v>5.5000000000000021E-2</v>
      </c>
      <c r="M27" s="12"/>
      <c r="N27" s="13"/>
    </row>
    <row r="28" spans="1:17" ht="15.75" x14ac:dyDescent="0.5">
      <c r="A28" s="12">
        <f ca="1">MAX(0,strike-B28)-putprice</f>
        <v>-4.8824665591859855</v>
      </c>
      <c r="B28" s="12">
        <f>B27+PRICER!$C$17</f>
        <v>155</v>
      </c>
      <c r="D28" s="12">
        <f t="shared" ca="1" si="0"/>
        <v>53.683554017783408</v>
      </c>
      <c r="E28" s="12">
        <f>E27+PRICER!$C$17</f>
        <v>155</v>
      </c>
      <c r="F28" s="12"/>
      <c r="G28" s="12">
        <f t="shared" ca="1" si="1"/>
        <v>7.2038326140067355</v>
      </c>
      <c r="H28" s="13">
        <f>H27+PRICER!$C$18</f>
        <v>0.3600000000000001</v>
      </c>
      <c r="I28" s="11"/>
      <c r="J28" s="12">
        <f t="shared" ca="1" si="2"/>
        <v>4.5037639719656681</v>
      </c>
      <c r="K28" s="13">
        <f>K27+PRICER!$C$19</f>
        <v>5.7500000000000023E-2</v>
      </c>
      <c r="M28" s="12"/>
      <c r="N28" s="13"/>
    </row>
    <row r="29" spans="1:17" ht="15.75" x14ac:dyDescent="0.5">
      <c r="A29" s="12">
        <f ca="1">MAX(0,strike-B29)-putprice</f>
        <v>-4.8824665591859855</v>
      </c>
      <c r="B29" s="12">
        <f>B28+PRICER!$C$17</f>
        <v>160</v>
      </c>
      <c r="D29" s="12">
        <f t="shared" ca="1" si="0"/>
        <v>58.639316188560457</v>
      </c>
      <c r="E29" s="12">
        <f>E28+PRICER!$C$17</f>
        <v>160</v>
      </c>
      <c r="F29" s="12"/>
      <c r="G29" s="12">
        <f t="shared" ca="1" si="1"/>
        <v>7.4146688384256194</v>
      </c>
      <c r="H29" s="13">
        <f>H28+PRICER!$C$18</f>
        <v>0.37000000000000011</v>
      </c>
      <c r="I29" s="11"/>
      <c r="J29" s="12">
        <f t="shared" ca="1" si="2"/>
        <v>4.4703787319183093</v>
      </c>
      <c r="K29" s="13">
        <f>K28+PRICER!$C$19</f>
        <v>6.0000000000000026E-2</v>
      </c>
      <c r="M29" s="12"/>
      <c r="N29" s="13"/>
    </row>
    <row r="30" spans="1:17" ht="15.75" x14ac:dyDescent="0.5">
      <c r="A30" s="12">
        <f ca="1">MAX(0,strike-B30)-putprice</f>
        <v>-4.8824665591859855</v>
      </c>
      <c r="B30" s="12">
        <f>B29+PRICER!$C$17</f>
        <v>165</v>
      </c>
      <c r="D30" s="12">
        <f t="shared" ca="1" si="0"/>
        <v>63.596063023027057</v>
      </c>
      <c r="E30" s="12">
        <f>E29+PRICER!$C$17</f>
        <v>165</v>
      </c>
      <c r="F30" s="12"/>
      <c r="G30" s="12">
        <f t="shared" ca="1" si="1"/>
        <v>7.625460181022838</v>
      </c>
      <c r="H30" s="13">
        <f>H29+PRICER!$C$18</f>
        <v>0.38000000000000012</v>
      </c>
      <c r="I30" s="11"/>
      <c r="J30" s="12">
        <f t="shared" ca="1" si="2"/>
        <v>4.4371660507106867</v>
      </c>
      <c r="K30" s="13">
        <f>K29+PRICER!$C$19</f>
        <v>6.2500000000000028E-2</v>
      </c>
      <c r="M30" s="12"/>
      <c r="N30" s="13"/>
    </row>
    <row r="31" spans="1:17" ht="15.75" x14ac:dyDescent="0.5">
      <c r="A31" s="12">
        <f ca="1">MAX(0,strike-B31)-putprice</f>
        <v>-4.8824665591859855</v>
      </c>
      <c r="B31" s="12">
        <f>B30+PRICER!$C$17</f>
        <v>170</v>
      </c>
      <c r="D31" s="12">
        <f t="shared" ca="1" si="0"/>
        <v>68.553224017479309</v>
      </c>
      <c r="E31" s="12">
        <f>E30+PRICER!$C$17</f>
        <v>170</v>
      </c>
      <c r="F31" s="12"/>
      <c r="G31" s="12">
        <f t="shared" ca="1" si="1"/>
        <v>7.8362043288387255</v>
      </c>
      <c r="H31" s="13">
        <f>H30+PRICER!$C$18</f>
        <v>0.39000000000000012</v>
      </c>
      <c r="I31" s="11"/>
      <c r="J31" s="12">
        <f t="shared" ca="1" si="2"/>
        <v>4.4041256486939062</v>
      </c>
      <c r="K31" s="13">
        <f>K30+PRICER!$C$19</f>
        <v>6.500000000000003E-2</v>
      </c>
      <c r="M31" s="12"/>
      <c r="N31" s="13"/>
    </row>
    <row r="32" spans="1:17" ht="15.75" x14ac:dyDescent="0.5">
      <c r="A32" s="12">
        <f ca="1">MAX(0,strike-B32)-putprice</f>
        <v>-4.8824665591859855</v>
      </c>
      <c r="B32" s="12">
        <f>B31+PRICER!$C$17</f>
        <v>175</v>
      </c>
      <c r="C32" s="11"/>
      <c r="D32" s="12">
        <f t="shared" ca="1" si="0"/>
        <v>73.510554874661224</v>
      </c>
      <c r="E32" s="12">
        <f>E31+PRICER!$C$17</f>
        <v>175</v>
      </c>
      <c r="F32" s="12"/>
      <c r="G32" s="12">
        <f t="shared" ca="1" si="1"/>
        <v>8.0468990525833561</v>
      </c>
      <c r="H32" s="13">
        <f>H31+PRICER!$C$18</f>
        <v>0.40000000000000013</v>
      </c>
      <c r="I32" s="11"/>
      <c r="J32" s="12">
        <f t="shared" ca="1" si="2"/>
        <v>4.3712572423530531</v>
      </c>
      <c r="K32" s="13">
        <f>K31+PRICER!$C$19</f>
        <v>6.7500000000000032E-2</v>
      </c>
      <c r="L32" s="11"/>
      <c r="M32" s="12"/>
      <c r="N32" s="13"/>
    </row>
    <row r="33" spans="1:12" x14ac:dyDescent="0.4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</row>
    <row r="34" spans="1:12" x14ac:dyDescent="0.4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</row>
    <row r="35" spans="1:12" x14ac:dyDescent="0.4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</row>
    <row r="36" spans="1:12" x14ac:dyDescent="0.4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</row>
    <row r="37" spans="1:12" x14ac:dyDescent="0.4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</row>
    <row r="38" spans="1:12" x14ac:dyDescent="0.4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</row>
    <row r="39" spans="1:12" x14ac:dyDescent="0.4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</row>
    <row r="40" spans="1:12" x14ac:dyDescent="0.4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</row>
    <row r="41" spans="1:12" x14ac:dyDescent="0.4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</row>
    <row r="42" spans="1:12" x14ac:dyDescent="0.4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</row>
    <row r="43" spans="1:12" x14ac:dyDescent="0.4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</row>
    <row r="44" spans="1:12" x14ac:dyDescent="0.4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</row>
    <row r="45" spans="1:12" x14ac:dyDescent="0.4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</row>
    <row r="46" spans="1:12" x14ac:dyDescent="0.4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</row>
    <row r="47" spans="1:12" x14ac:dyDescent="0.4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</row>
    <row r="48" spans="1:12" x14ac:dyDescent="0.4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</row>
    <row r="49" spans="1:12" x14ac:dyDescent="0.4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</row>
    <row r="50" spans="1:12" x14ac:dyDescent="0.4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</row>
    <row r="51" spans="1:12" x14ac:dyDescent="0.4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</row>
    <row r="52" spans="1:12" x14ac:dyDescent="0.4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</row>
    <row r="53" spans="1:12" x14ac:dyDescent="0.4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</row>
    <row r="54" spans="1:12" x14ac:dyDescent="0.4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</row>
    <row r="55" spans="1:12" x14ac:dyDescent="0.4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</row>
    <row r="56" spans="1:12" x14ac:dyDescent="0.4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</row>
    <row r="57" spans="1:12" x14ac:dyDescent="0.4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</row>
    <row r="58" spans="1:12" x14ac:dyDescent="0.4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</row>
    <row r="59" spans="1:12" x14ac:dyDescent="0.4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</row>
    <row r="60" spans="1:12" x14ac:dyDescent="0.4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</row>
    <row r="61" spans="1:12" x14ac:dyDescent="0.4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2" x14ac:dyDescent="0.4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</row>
    <row r="63" spans="1:12" x14ac:dyDescent="0.4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5D3E-BB71-4B00-A6E9-A2450E25FD8C}">
  <sheetPr codeName="Feuil4"/>
  <dimension ref="A1:N101"/>
  <sheetViews>
    <sheetView workbookViewId="0">
      <selection activeCell="N17" sqref="N17"/>
    </sheetView>
  </sheetViews>
  <sheetFormatPr baseColWidth="10" defaultRowHeight="14.25" x14ac:dyDescent="0.45"/>
  <sheetData>
    <row r="1" spans="1:14" ht="15.75" x14ac:dyDescent="0.5">
      <c r="A1" s="10" t="s">
        <v>60</v>
      </c>
      <c r="B1" s="10" t="s">
        <v>30</v>
      </c>
      <c r="D1" s="10" t="s">
        <v>61</v>
      </c>
      <c r="E1" s="10" t="s">
        <v>30</v>
      </c>
      <c r="G1" s="10" t="s">
        <v>62</v>
      </c>
      <c r="H1" s="10" t="s">
        <v>30</v>
      </c>
      <c r="J1" s="10" t="s">
        <v>63</v>
      </c>
      <c r="K1" s="10" t="s">
        <v>30</v>
      </c>
      <c r="M1" s="10" t="s">
        <v>64</v>
      </c>
      <c r="N1" s="10" t="s">
        <v>30</v>
      </c>
    </row>
    <row r="2" spans="1:14" ht="15.75" x14ac:dyDescent="0.5">
      <c r="A2" s="19">
        <f ca="1">BSMdeltacall(B2,strike,vol,rate,q,time)</f>
        <v>5.4730459245950591E-25</v>
      </c>
      <c r="B2" s="12">
        <f>B3-PRICER!$C$17</f>
        <v>25</v>
      </c>
      <c r="D2" s="19">
        <f ca="1">BSMgamma(E2,strike,vol,rate,q,time)</f>
        <v>1.6984620646394363E-24</v>
      </c>
      <c r="E2" s="12">
        <f>E3-PRICER!$C$17</f>
        <v>25</v>
      </c>
      <c r="G2" s="19">
        <f ca="1">BSMthetacall(H2,strike,vol,rate,q,time)</f>
        <v>-9.1995583573675967E-26</v>
      </c>
      <c r="H2" s="12">
        <f>H3-PRICER!$C$17</f>
        <v>25</v>
      </c>
      <c r="J2" s="19">
        <f ca="1">BSMvega(K2,strike,vol,rate,q,time)</f>
        <v>7.5616461781892725E-25</v>
      </c>
      <c r="K2" s="12">
        <f>K3-PRICER!$C$17</f>
        <v>25</v>
      </c>
      <c r="M2" s="19">
        <f ca="1">BSMrhocall(N2,strike,vol,rate,q,time)</f>
        <v>3.8494322975237294E-26</v>
      </c>
      <c r="N2" s="12">
        <f>N3-PRICER!$C$17</f>
        <v>25</v>
      </c>
    </row>
    <row r="3" spans="1:14" ht="15.75" x14ac:dyDescent="0.5">
      <c r="A3" s="19">
        <f ca="1">BSMdeltacall(B3,strike,vol,rate,q,time)</f>
        <v>3.0199993702066102E-19</v>
      </c>
      <c r="B3" s="12">
        <f>B4-PRICER!$C$17</f>
        <v>30</v>
      </c>
      <c r="D3" s="19">
        <f ca="1">BSMgamma(E3,strike,vol,rate,q,time)</f>
        <v>6.7900072988530265E-19</v>
      </c>
      <c r="E3" s="12">
        <f>E4-PRICER!$C$17</f>
        <v>30</v>
      </c>
      <c r="G3" s="19">
        <f ca="1">BSMthetacall(H3,strike,vol,rate,q,time)</f>
        <v>-5.3054164861269627E-20</v>
      </c>
      <c r="H3" s="12">
        <f>H4-PRICER!$C$17</f>
        <v>30</v>
      </c>
      <c r="J3" s="19">
        <f ca="1">BSMvega(K3,strike,vol,rate,q,time)</f>
        <v>4.3530457751550915E-19</v>
      </c>
      <c r="K3" s="12">
        <f>K4-PRICER!$C$17</f>
        <v>30</v>
      </c>
      <c r="M3" s="19">
        <f ca="1">BSMrhocall(N3,strike,vol,rate,q,time)</f>
        <v>2.5441975542725648E-20</v>
      </c>
      <c r="N3" s="12">
        <f>N4-PRICER!$C$17</f>
        <v>30</v>
      </c>
    </row>
    <row r="4" spans="1:14" ht="15.75" x14ac:dyDescent="0.5">
      <c r="A4" s="19">
        <f ca="1">BSMdeltacall(B4,strike,vol,rate,q,time)</f>
        <v>5.1234289594656121E-15</v>
      </c>
      <c r="B4" s="12">
        <f>B5-PRICER!$C$17</f>
        <v>35</v>
      </c>
      <c r="D4" s="19">
        <f ca="1">BSMgamma(E4,strike,vol,rate,q,time)</f>
        <v>8.6234979435261153E-15</v>
      </c>
      <c r="E4" s="12">
        <f>E5-PRICER!$C$17</f>
        <v>35</v>
      </c>
      <c r="G4" s="19">
        <f ca="1">BSMthetacall(H4,strike,vol,rate,q,time)</f>
        <v>-9.1892989369544982E-16</v>
      </c>
      <c r="H4" s="12">
        <f>H5-PRICER!$C$17</f>
        <v>35</v>
      </c>
      <c r="J4" s="19">
        <f ca="1">BSMvega(K4,strike,vol,rate,q,time)</f>
        <v>7.5248879315426517E-15</v>
      </c>
      <c r="K4" s="12">
        <f>K5-PRICER!$C$17</f>
        <v>35</v>
      </c>
      <c r="M4" s="19">
        <f ca="1">BSMrhocall(N4,strike,vol,rate,q,time)</f>
        <v>5.0253660001455014E-16</v>
      </c>
      <c r="N4" s="12">
        <f>N5-PRICER!$C$17</f>
        <v>35</v>
      </c>
    </row>
    <row r="5" spans="1:14" ht="15.75" x14ac:dyDescent="0.5">
      <c r="A5" s="19">
        <f ca="1">BSMdeltacall(B5,strike,vol,rate,q,time)</f>
        <v>8.166907306820084E-12</v>
      </c>
      <c r="B5" s="12">
        <f>B6-PRICER!$C$17</f>
        <v>40</v>
      </c>
      <c r="D5" s="19">
        <f ca="1">BSMgamma(E5,strike,vol,rate,q,time)</f>
        <v>1.0523350359634348E-11</v>
      </c>
      <c r="E5" s="12">
        <f>E6-PRICER!$C$17</f>
        <v>40</v>
      </c>
      <c r="G5" s="19">
        <f ca="1">BSMthetacall(H5,strike,vol,rate,q,time)</f>
        <v>-1.4679035640333189E-12</v>
      </c>
      <c r="H5" s="12">
        <f>H6-PRICER!$C$17</f>
        <v>40</v>
      </c>
      <c r="J5" s="19">
        <f ca="1">BSMvega(K5,strike,vol,rate,q,time)</f>
        <v>1.1993736300295588E-11</v>
      </c>
      <c r="K5" s="12">
        <f>K6-PRICER!$C$17</f>
        <v>40</v>
      </c>
      <c r="M5" s="19">
        <f ca="1">BSMrhocall(N5,strike,vol,rate,q,time)</f>
        <v>9.1342230192343532E-13</v>
      </c>
      <c r="N5" s="12">
        <f>N6-PRICER!$C$17</f>
        <v>40</v>
      </c>
    </row>
    <row r="6" spans="1:14" ht="15.75" x14ac:dyDescent="0.5">
      <c r="A6" s="19">
        <f ca="1">BSMdeltacall(B6,strike,vol,rate,q,time)</f>
        <v>2.4152509796207957E-9</v>
      </c>
      <c r="B6" s="12">
        <f>B7-PRICER!$C$17</f>
        <v>45</v>
      </c>
      <c r="D6" s="19">
        <f ca="1">BSMgamma(E6,strike,vol,rate,q,time)</f>
        <v>2.4192172069650698E-9</v>
      </c>
      <c r="E6" s="12">
        <f>E7-PRICER!$C$17</f>
        <v>45</v>
      </c>
      <c r="G6" s="19">
        <f ca="1">BSMthetacall(H6,strike,vol,rate,q,time)</f>
        <v>-4.2817153468714421E-10</v>
      </c>
      <c r="H6" s="12">
        <f>H7-PRICER!$C$17</f>
        <v>45</v>
      </c>
      <c r="J6" s="19">
        <f ca="1">BSMvega(K6,strike,vol,rate,q,time)</f>
        <v>3.489637971142766E-9</v>
      </c>
      <c r="K6" s="12">
        <f>K7-PRICER!$C$17</f>
        <v>45</v>
      </c>
      <c r="M6" s="19">
        <f ca="1">BSMrhocall(N6,strike,vol,rate,q,time)</f>
        <v>3.0312165605947636E-10</v>
      </c>
      <c r="N6" s="12">
        <f>N7-PRICER!$C$17</f>
        <v>45</v>
      </c>
    </row>
    <row r="7" spans="1:14" ht="15.75" x14ac:dyDescent="0.5">
      <c r="A7" s="19">
        <f ca="1">BSMdeltacall(B7,strike,vol,rate,q,time)</f>
        <v>2.0594361421917609E-7</v>
      </c>
      <c r="B7" s="12">
        <f>B8-PRICER!$C$17</f>
        <v>50</v>
      </c>
      <c r="D7" s="19">
        <f ca="1">BSMgamma(E7,strike,vol,rate,q,time)</f>
        <v>1.6197504868325509E-7</v>
      </c>
      <c r="E7" s="12">
        <f>E8-PRICER!$C$17</f>
        <v>50</v>
      </c>
      <c r="G7" s="19">
        <f ca="1">BSMthetacall(H7,strike,vol,rate,q,time)</f>
        <v>-3.5495314351826108E-8</v>
      </c>
      <c r="H7" s="12">
        <f>H8-PRICER!$C$17</f>
        <v>50</v>
      </c>
      <c r="J7" s="19">
        <f ca="1">BSMvega(K7,strike,vol,rate,q,time)</f>
        <v>2.8844871683319404E-7</v>
      </c>
      <c r="K7" s="12">
        <f>K8-PRICER!$C$17</f>
        <v>50</v>
      </c>
      <c r="M7" s="19">
        <f ca="1">BSMrhocall(N7,strike,vol,rate,q,time)</f>
        <v>2.8634577391663322E-8</v>
      </c>
      <c r="N7" s="12">
        <f>N8-PRICER!$C$17</f>
        <v>50</v>
      </c>
    </row>
    <row r="8" spans="1:14" ht="15.75" x14ac:dyDescent="0.5">
      <c r="A8" s="19">
        <f ca="1">BSMdeltacall(B8,strike,vol,rate,q,time)</f>
        <v>6.8328405877066067E-6</v>
      </c>
      <c r="B8" s="12">
        <f>B9-PRICER!$C$17</f>
        <v>55</v>
      </c>
      <c r="D8" s="19">
        <f ca="1">BSMgamma(E8,strike,vol,rate,q,time)</f>
        <v>4.2446864362029691E-6</v>
      </c>
      <c r="E8" s="12">
        <f>E9-PRICER!$C$17</f>
        <v>55</v>
      </c>
      <c r="G8" s="19">
        <f ca="1">BSMthetacall(H8,strike,vol,rate,q,time)</f>
        <v>-1.1293742093145371E-6</v>
      </c>
      <c r="H8" s="12">
        <f>H9-PRICER!$C$17</f>
        <v>55</v>
      </c>
      <c r="J8" s="19">
        <f ca="1">BSMvega(K8,strike,vol,rate,q,time)</f>
        <v>9.1464270741743448E-6</v>
      </c>
      <c r="K8" s="12">
        <f>K9-PRICER!$C$17</f>
        <v>55</v>
      </c>
      <c r="M8" s="19">
        <f ca="1">BSMrhocall(N8,strike,vol,rate,q,time)</f>
        <v>1.0415264471775233E-6</v>
      </c>
      <c r="N8" s="12">
        <f>N9-PRICER!$C$17</f>
        <v>55</v>
      </c>
    </row>
    <row r="9" spans="1:14" ht="15.75" x14ac:dyDescent="0.5">
      <c r="A9" s="19">
        <f ca="1">BSMdeltacall(B9,strike,vol,rate,q,time)</f>
        <v>1.0902201413423035E-4</v>
      </c>
      <c r="B9" s="12">
        <f>B10-PRICER!$C$17</f>
        <v>60</v>
      </c>
      <c r="D9" s="19">
        <f ca="1">BSMgamma(E9,strike,vol,rate,q,time)</f>
        <v>5.3616734479100318E-5</v>
      </c>
      <c r="E9" s="12">
        <f>E10-PRICER!$C$17</f>
        <v>60</v>
      </c>
      <c r="G9" s="19">
        <f ca="1">BSMthetacall(H9,strike,vol,rate,q,time)</f>
        <v>-1.704659934030906E-5</v>
      </c>
      <c r="H9" s="12">
        <f>H10-PRICER!$C$17</f>
        <v>60</v>
      </c>
      <c r="J9" s="19">
        <f ca="1">BSMvega(K9,strike,vol,rate,q,time)</f>
        <v>1.3749387252722715E-4</v>
      </c>
      <c r="K9" s="12">
        <f>K10-PRICER!$C$17</f>
        <v>60</v>
      </c>
      <c r="M9" s="19">
        <f ca="1">BSMrhocall(N9,strike,vol,rate,q,time)</f>
        <v>1.8057641600600946E-5</v>
      </c>
      <c r="N9" s="12">
        <f>N10-PRICER!$C$17</f>
        <v>60</v>
      </c>
    </row>
    <row r="10" spans="1:14" ht="15.75" x14ac:dyDescent="0.5">
      <c r="A10" s="19">
        <f ca="1">BSMdeltacall(B10,strike,vol,rate,q,time)</f>
        <v>9.763592718819655E-4</v>
      </c>
      <c r="B10" s="12">
        <f>B11-PRICER!$C$17</f>
        <v>65</v>
      </c>
      <c r="D10" s="19">
        <f ca="1">BSMgamma(E10,strike,vol,rate,q,time)</f>
        <v>3.7974629872622342E-4</v>
      </c>
      <c r="E10" s="12">
        <f>E11-PRICER!$C$17</f>
        <v>65</v>
      </c>
      <c r="G10" s="19">
        <f ca="1">BSMthetacall(H10,strike,vol,rate,q,time)</f>
        <v>-1.4239567740439294E-4</v>
      </c>
      <c r="H10" s="12">
        <f>H11-PRICER!$C$17</f>
        <v>65</v>
      </c>
      <c r="J10" s="19">
        <f ca="1">BSMvega(K10,strike,vol,rate,q,time)</f>
        <v>1.1428802990431685E-3</v>
      </c>
      <c r="K10" s="12">
        <f>K11-PRICER!$C$17</f>
        <v>65</v>
      </c>
      <c r="M10" s="19">
        <f ca="1">BSMrhocall(N10,strike,vol,rate,q,time)</f>
        <v>1.7438223733908697E-4</v>
      </c>
      <c r="N10" s="12">
        <f>N11-PRICER!$C$17</f>
        <v>65</v>
      </c>
    </row>
    <row r="11" spans="1:14" ht="15.75" x14ac:dyDescent="0.5">
      <c r="A11" s="19">
        <f ca="1">BSMdeltacall(B11,strike,vol,rate,q,time)</f>
        <v>5.5110680741143839E-3</v>
      </c>
      <c r="B11" s="12">
        <f>B12-PRICER!$C$17</f>
        <v>70</v>
      </c>
      <c r="D11" s="19">
        <f ca="1">BSMgamma(E11,strike,vol,rate,q,time)</f>
        <v>1.6879194371976138E-3</v>
      </c>
      <c r="E11" s="12">
        <f>E12-PRICER!$C$17</f>
        <v>70</v>
      </c>
      <c r="G11" s="19">
        <f ca="1">BSMthetacall(H11,strike,vol,rate,q,time)</f>
        <v>-7.3852587143320573E-4</v>
      </c>
      <c r="H11" s="12">
        <f>H12-PRICER!$C$17</f>
        <v>70</v>
      </c>
      <c r="J11" s="19">
        <f ca="1">BSMvega(K11,strike,vol,rate,q,time)</f>
        <v>5.8915325013418089E-3</v>
      </c>
      <c r="K11" s="12">
        <f>K12-PRICER!$C$17</f>
        <v>70</v>
      </c>
      <c r="M11" s="19">
        <f ca="1">BSMrhocall(N11,strike,vol,rate,q,time)</f>
        <v>1.0541781207602649E-3</v>
      </c>
      <c r="N11" s="12">
        <f>N12-PRICER!$C$17</f>
        <v>70</v>
      </c>
    </row>
    <row r="12" spans="1:14" ht="15.75" x14ac:dyDescent="0.5">
      <c r="A12" s="19">
        <f ca="1">BSMdeltacall(B12,strike,vol,rate,q,time)</f>
        <v>2.1434085262114776E-2</v>
      </c>
      <c r="B12" s="12">
        <f>B13-PRICER!$C$17</f>
        <v>75</v>
      </c>
      <c r="D12" s="19">
        <f ca="1">BSMgamma(E12,strike,vol,rate,q,time)</f>
        <v>5.1298664269865367E-3</v>
      </c>
      <c r="E12" s="12">
        <f>E13-PRICER!$C$17</f>
        <v>75</v>
      </c>
      <c r="G12" s="19">
        <f ca="1">BSMthetacall(H12,strike,vol,rate,q,time)</f>
        <v>-2.5963846873905323E-3</v>
      </c>
      <c r="H12" s="12">
        <f>H13-PRICER!$C$17</f>
        <v>75</v>
      </c>
      <c r="J12" s="19">
        <f ca="1">BSMvega(K12,strike,vol,rate,q,time)</f>
        <v>2.055460177936386E-2</v>
      </c>
      <c r="K12" s="12">
        <f>K13-PRICER!$C$17</f>
        <v>75</v>
      </c>
      <c r="M12" s="19">
        <f ca="1">BSMrhocall(N12,strike,vol,rate,q,time)</f>
        <v>4.3638284155223667E-3</v>
      </c>
      <c r="N12" s="12">
        <f>N13-PRICER!$C$17</f>
        <v>75</v>
      </c>
    </row>
    <row r="13" spans="1:14" ht="15.75" x14ac:dyDescent="0.5">
      <c r="A13" s="19">
        <f ca="1">BSMdeltacall(B13,strike,vol,rate,q,time)</f>
        <v>6.1613730249191555E-2</v>
      </c>
      <c r="B13" s="12">
        <f>B14-PRICER!$C$17</f>
        <v>80</v>
      </c>
      <c r="D13" s="19">
        <f ca="1">BSMgamma(E13,strike,vol,rate,q,time)</f>
        <v>1.1392228277620556E-2</v>
      </c>
      <c r="E13" s="12">
        <f>E14-PRICER!$C$17</f>
        <v>80</v>
      </c>
      <c r="G13" s="19">
        <f ca="1">BSMthetacall(H13,strike,vol,rate,q,time)</f>
        <v>-6.6252105137505199E-3</v>
      </c>
      <c r="H13" s="12">
        <f>H14-PRICER!$C$17</f>
        <v>80</v>
      </c>
      <c r="J13" s="19">
        <f ca="1">BSMvega(K13,strike,vol,rate,q,time)</f>
        <v>5.1936076312220844E-2</v>
      </c>
      <c r="K13" s="12">
        <f>K14-PRICER!$C$17</f>
        <v>80</v>
      </c>
      <c r="M13" s="19">
        <f ca="1">BSMrhocall(N13,strike,vol,rate,q,time)</f>
        <v>1.3273646509097863E-2</v>
      </c>
      <c r="N13" s="12">
        <f>N14-PRICER!$C$17</f>
        <v>80</v>
      </c>
    </row>
    <row r="14" spans="1:14" ht="15.75" x14ac:dyDescent="0.5">
      <c r="A14" s="19">
        <f ca="1">BSMdeltacall(B14,strike,vol,rate,q,time)</f>
        <v>0.13850266199635791</v>
      </c>
      <c r="B14" s="12">
        <f>B15-PRICER!$C$17</f>
        <v>85</v>
      </c>
      <c r="D14" s="19">
        <f ca="1">BSMgamma(E14,strike,vol,rate,q,time)</f>
        <v>1.9479275975825227E-2</v>
      </c>
      <c r="E14" s="12">
        <f>E15-PRICER!$C$17</f>
        <v>85</v>
      </c>
      <c r="G14" s="19">
        <f ca="1">BSMthetacall(H14,strike,vol,rate,q,time)</f>
        <v>-1.2955123243739309E-2</v>
      </c>
      <c r="H14" s="12">
        <f>H15-PRICER!$C$17</f>
        <v>85</v>
      </c>
      <c r="J14" s="19">
        <f ca="1">BSMvega(K14,strike,vol,rate,q,time)</f>
        <v>0.10025156142626764</v>
      </c>
      <c r="K14" s="12">
        <f>K15-PRICER!$C$17</f>
        <v>85</v>
      </c>
      <c r="M14" s="19">
        <f ca="1">BSMrhocall(N14,strike,vol,rate,q,time)</f>
        <v>3.1396099840180929E-2</v>
      </c>
      <c r="N14" s="12">
        <f>N15-PRICER!$C$17</f>
        <v>85</v>
      </c>
    </row>
    <row r="15" spans="1:14" ht="15.75" x14ac:dyDescent="0.5">
      <c r="A15" s="19">
        <f ca="1">BSMdeltacall(B15,strike,vol,rate,q,time)</f>
        <v>0.25502825625524433</v>
      </c>
      <c r="B15" s="12">
        <f>B16-PRICER!$C$17</f>
        <v>90</v>
      </c>
      <c r="D15" s="19">
        <f ca="1">BSMgamma(E15,strike,vol,rate,q,time)</f>
        <v>2.6737821011496268E-2</v>
      </c>
      <c r="E15" s="12">
        <f>E16-PRICER!$C$17</f>
        <v>90</v>
      </c>
      <c r="G15" s="19">
        <f ca="1">BSMthetacall(H15,strike,vol,rate,q,time)</f>
        <v>-2.0287430185451549E-2</v>
      </c>
      <c r="H15" s="12">
        <f>H16-PRICER!$C$17</f>
        <v>90</v>
      </c>
      <c r="J15" s="19">
        <f ca="1">BSMvega(K15,strike,vol,rate,q,time)</f>
        <v>0.15427356452112642</v>
      </c>
      <c r="K15" s="12">
        <f>K16-PRICER!$C$17</f>
        <v>90</v>
      </c>
      <c r="M15" s="19">
        <f ca="1">BSMrhocall(N15,strike,vol,rate,q,time)</f>
        <v>6.0491060924293599E-2</v>
      </c>
      <c r="N15" s="12">
        <f>N16-PRICER!$C$17</f>
        <v>90</v>
      </c>
    </row>
    <row r="16" spans="1:14" ht="15.75" x14ac:dyDescent="0.5">
      <c r="A16" s="19">
        <f ca="1">BSMdeltacall(B16,strike,vol,rate,q,time)</f>
        <v>0.39990528334206676</v>
      </c>
      <c r="B16" s="12">
        <f>B17-PRICER!$C$17</f>
        <v>95</v>
      </c>
      <c r="D16" s="19">
        <f ca="1">BSMgamma(E16,strike,vol,rate,q,time)</f>
        <v>3.04727524496008E-2</v>
      </c>
      <c r="E16" s="12">
        <f>E17-PRICER!$C$17</f>
        <v>95</v>
      </c>
      <c r="G16" s="19">
        <f ca="1">BSMthetacall(H16,strike,vol,rate,q,time)</f>
        <v>-2.6392980384523285E-2</v>
      </c>
      <c r="H16" s="12">
        <f>H17-PRICER!$C$17</f>
        <v>95</v>
      </c>
      <c r="J16" s="19">
        <f ca="1">BSMvega(K16,strike,vol,rate,q,time)</f>
        <v>0.19590222910407751</v>
      </c>
      <c r="K16" s="12">
        <f>K17-PRICER!$C$17</f>
        <v>95</v>
      </c>
      <c r="M16" s="19">
        <f ca="1">BSMrhocall(N16,strike,vol,rate,q,time)</f>
        <v>9.8697365396484313E-2</v>
      </c>
      <c r="N16" s="12">
        <f>N17-PRICER!$C$17</f>
        <v>95</v>
      </c>
    </row>
    <row r="17" spans="1:14" ht="15.75" x14ac:dyDescent="0.5">
      <c r="A17" s="19">
        <f ca="1">BSMdeltacall(B17,strike,vol,rate,q,time)</f>
        <v>0.55202473071595781</v>
      </c>
      <c r="B17" s="23">
        <f>spot</f>
        <v>100</v>
      </c>
      <c r="D17" s="19">
        <f ca="1">BSMgamma(E17,strike,vol,rate,q,time)</f>
        <v>2.9640528807588884E-2</v>
      </c>
      <c r="E17" s="23">
        <f>spot</f>
        <v>100</v>
      </c>
      <c r="G17" s="19">
        <f ca="1">BSMthetacall(H17,strike,vol,rate,q,time)</f>
        <v>-2.9443098360428837E-2</v>
      </c>
      <c r="H17" s="23">
        <f>spot</f>
        <v>100</v>
      </c>
      <c r="J17" s="19">
        <f ca="1">BSMvega(K17,strike,vol,rate,q,time)</f>
        <v>0.21113801342392086</v>
      </c>
      <c r="K17" s="23">
        <f>spot</f>
        <v>100</v>
      </c>
      <c r="M17" s="19">
        <f ca="1">BSMrhocall(N17,strike,vol,rate,q,time)</f>
        <v>0.14095235389519625</v>
      </c>
      <c r="N17" s="23">
        <f>spot</f>
        <v>100</v>
      </c>
    </row>
    <row r="18" spans="1:14" ht="15.75" x14ac:dyDescent="0.5">
      <c r="A18" s="19">
        <f ca="1">BSMdeltacall(B18,strike,vol,rate,q,time)</f>
        <v>0.69019100627230323</v>
      </c>
      <c r="B18" s="12">
        <f>B17+PRICER!$C$17</f>
        <v>105</v>
      </c>
      <c r="D18" s="19">
        <f ca="1">BSMgamma(E18,strike,vol,rate,q,time)</f>
        <v>2.5171227064172616E-2</v>
      </c>
      <c r="E18" s="12">
        <f>E17+PRICER!$C$17</f>
        <v>105</v>
      </c>
      <c r="G18" s="19">
        <f ca="1">BSMthetacall(H18,strike,vol,rate,q,time)</f>
        <v>-2.8988821263735781E-2</v>
      </c>
      <c r="H18" s="12">
        <f>H17+PRICER!$C$17</f>
        <v>105</v>
      </c>
      <c r="J18" s="19">
        <f ca="1">BSMvega(K18,strike,vol,rate,q,time)</f>
        <v>0.1976803352861666</v>
      </c>
      <c r="K18" s="12">
        <f>K17+PRICER!$C$17</f>
        <v>105</v>
      </c>
      <c r="M18" s="19">
        <f ca="1">BSMrhocall(N18,strike,vol,rate,q,time)</f>
        <v>0.18127774011714637</v>
      </c>
      <c r="N18" s="12">
        <f>N17+PRICER!$C$17</f>
        <v>105</v>
      </c>
    </row>
    <row r="19" spans="1:14" ht="15.75" x14ac:dyDescent="0.5">
      <c r="A19" s="19">
        <f ca="1">BSMdeltacall(B19,strike,vol,rate,q,time)</f>
        <v>0.80094279813851232</v>
      </c>
      <c r="B19" s="12">
        <f>B18+PRICER!$C$17</f>
        <v>110</v>
      </c>
      <c r="D19" s="19">
        <f ca="1">BSMgamma(E19,strike,vol,rate,q,time)</f>
        <v>1.9017828156070476E-2</v>
      </c>
      <c r="E19" s="12">
        <f>E18+PRICER!$C$17</f>
        <v>110</v>
      </c>
      <c r="G19" s="19">
        <f ca="1">BSMthetacall(H19,strike,vol,rate,q,time)</f>
        <v>-2.5908355339264385E-2</v>
      </c>
      <c r="H19" s="12">
        <f>H18+PRICER!$C$17</f>
        <v>110</v>
      </c>
      <c r="J19" s="19">
        <f ca="1">BSMvega(K19,strike,vol,rate,q,time)</f>
        <v>0.16391804761369241</v>
      </c>
      <c r="K19" s="12">
        <f>K18+PRICER!$C$17</f>
        <v>110</v>
      </c>
      <c r="M19" s="19">
        <f ca="1">BSMrhocall(N19,strike,vol,rate,q,time)</f>
        <v>0.21516445337078047</v>
      </c>
      <c r="N19" s="12">
        <f>N18+PRICER!$C$17</f>
        <v>110</v>
      </c>
    </row>
    <row r="20" spans="1:14" ht="15.75" x14ac:dyDescent="0.5">
      <c r="A20" s="19">
        <f ca="1">BSMdeltacall(B20,strike,vol,rate,q,time)</f>
        <v>0.88062098434269864</v>
      </c>
      <c r="B20" s="12">
        <f>B19+PRICER!$C$17</f>
        <v>115</v>
      </c>
      <c r="D20" s="19">
        <f ca="1">BSMgamma(E20,strike,vol,rate,q,time)</f>
        <v>1.2987355250689765E-2</v>
      </c>
      <c r="E20" s="12">
        <f>E19+PRICER!$C$17</f>
        <v>115</v>
      </c>
      <c r="G20" s="19">
        <f ca="1">BSMthetacall(H20,strike,vol,rate,q,time)</f>
        <v>-2.1647670498138497E-2</v>
      </c>
      <c r="H20" s="12">
        <f>H19+PRICER!$C$17</f>
        <v>115</v>
      </c>
      <c r="J20" s="19">
        <f ca="1">BSMvega(K20,strike,vol,rate,q,time)</f>
        <v>0.12234800282053908</v>
      </c>
      <c r="K20" s="12">
        <f>K19+PRICER!$C$17</f>
        <v>115</v>
      </c>
      <c r="M20" s="19">
        <f ca="1">BSMrhocall(N20,strike,vol,rate,q,time)</f>
        <v>0.24066923218322189</v>
      </c>
      <c r="N20" s="12">
        <f>N19+PRICER!$C$17</f>
        <v>115</v>
      </c>
    </row>
    <row r="21" spans="1:14" ht="15.75" x14ac:dyDescent="0.5">
      <c r="A21" s="19">
        <f ca="1">BSMdeltacall(B21,strike,vol,rate,q,time)</f>
        <v>0.93280609513146728</v>
      </c>
      <c r="B21" s="12">
        <f>B20+PRICER!$C$17</f>
        <v>120</v>
      </c>
      <c r="D21" s="19">
        <f ca="1">BSMgamma(E21,strike,vol,rate,q,time)</f>
        <v>8.1241145618548925E-3</v>
      </c>
      <c r="E21" s="12">
        <f>E20+PRICER!$C$17</f>
        <v>120</v>
      </c>
      <c r="G21" s="19">
        <f ca="1">BSMthetacall(H21,strike,vol,rate,q,time)</f>
        <v>-1.7461559403030399E-2</v>
      </c>
      <c r="H21" s="12">
        <f>H20+PRICER!$C$17</f>
        <v>120</v>
      </c>
      <c r="J21" s="19">
        <f ca="1">BSMvega(K21,strike,vol,rate,q,time)</f>
        <v>8.3333383341328018E-2</v>
      </c>
      <c r="K21" s="12">
        <f>K20+PRICER!$C$17</f>
        <v>120</v>
      </c>
      <c r="M21" s="19">
        <f ca="1">BSMrhocall(N21,strike,vol,rate,q,time)</f>
        <v>0.25811162871618709</v>
      </c>
      <c r="N21" s="12">
        <f>N20+PRICER!$C$17</f>
        <v>120</v>
      </c>
    </row>
    <row r="22" spans="1:14" ht="15.75" x14ac:dyDescent="0.5">
      <c r="A22" s="19">
        <f ca="1">BSMdeltacall(B22,strike,vol,rate,q,time)</f>
        <v>0.96429993275548087</v>
      </c>
      <c r="B22" s="12">
        <f>B21+PRICER!$C$17</f>
        <v>125</v>
      </c>
      <c r="D22" s="19">
        <f ca="1">BSMgamma(E22,strike,vol,rate,q,time)</f>
        <v>4.7080929381615655E-3</v>
      </c>
      <c r="E22" s="12">
        <f>E21+PRICER!$C$17</f>
        <v>125</v>
      </c>
      <c r="G22" s="19">
        <f ca="1">BSMthetacall(H22,strike,vol,rate,q,time)</f>
        <v>-1.4060322511011232E-2</v>
      </c>
      <c r="H22" s="12">
        <f>H21+PRICER!$C$17</f>
        <v>125</v>
      </c>
      <c r="J22" s="19">
        <f ca="1">BSMvega(K22,strike,vol,rate,q,time)</f>
        <v>5.240171934597633E-2</v>
      </c>
      <c r="K22" s="12">
        <f>K21+PRICER!$C$17</f>
        <v>125</v>
      </c>
      <c r="M22" s="19">
        <f ca="1">BSMrhocall(N22,strike,vol,rate,q,time)</f>
        <v>0.26908401644015467</v>
      </c>
      <c r="N22" s="12">
        <f>N21+PRICER!$C$17</f>
        <v>125</v>
      </c>
    </row>
    <row r="23" spans="1:14" ht="15.75" x14ac:dyDescent="0.5">
      <c r="A23" s="19">
        <f ca="1">BSMdeltacall(B23,strike,vol,rate,q,time)</f>
        <v>0.98199559503033695</v>
      </c>
      <c r="B23" s="12">
        <f>B22+PRICER!$C$17</f>
        <v>130</v>
      </c>
      <c r="D23" s="19">
        <f ca="1">BSMgamma(E23,strike,vol,rate,q,time)</f>
        <v>2.5522777442843676E-3</v>
      </c>
      <c r="E23" s="12">
        <f>E22+PRICER!$C$17</f>
        <v>130</v>
      </c>
      <c r="G23" s="19">
        <f ca="1">BSMthetacall(H23,strike,vol,rate,q,time)</f>
        <v>-1.1640047812187818E-2</v>
      </c>
      <c r="H23" s="12">
        <f>H22+PRICER!$C$17</f>
        <v>130</v>
      </c>
      <c r="J23" s="19">
        <f ca="1">BSMvega(K23,strike,vol,rate,q,time)</f>
        <v>3.0725228516124688E-2</v>
      </c>
      <c r="K23" s="12">
        <f>K22+PRICER!$C$17</f>
        <v>130</v>
      </c>
      <c r="M23" s="19">
        <f ca="1">BSMrhocall(N23,strike,vol,rate,q,time)</f>
        <v>0.27549987200532483</v>
      </c>
      <c r="N23" s="12">
        <f>N22+PRICER!$C$17</f>
        <v>130</v>
      </c>
    </row>
    <row r="24" spans="1:14" ht="15.75" x14ac:dyDescent="0.5">
      <c r="A24" s="19">
        <f ca="1">BSMdeltacall(B24,strike,vol,rate,q,time)</f>
        <v>0.99133518213495087</v>
      </c>
      <c r="B24" s="12">
        <f>B23+PRICER!$C$17</f>
        <v>135</v>
      </c>
      <c r="D24" s="19">
        <f ca="1">BSMgamma(E24,strike,vol,rate,q,time)</f>
        <v>1.3050615228978671E-3</v>
      </c>
      <c r="E24" s="12">
        <f>E23+PRICER!$C$17</f>
        <v>135</v>
      </c>
      <c r="G24" s="19">
        <f ca="1">BSMthetacall(H24,strike,vol,rate,q,time)</f>
        <v>-1.0084976298704173E-2</v>
      </c>
      <c r="H24" s="12">
        <f>H23+PRICER!$C$17</f>
        <v>135</v>
      </c>
      <c r="J24" s="19">
        <f ca="1">BSMvega(K24,strike,vol,rate,q,time)</f>
        <v>1.6942558976031627E-2</v>
      </c>
      <c r="K24" s="12">
        <f>K23+PRICER!$C$17</f>
        <v>135</v>
      </c>
      <c r="M24" s="19">
        <f ca="1">BSMrhocall(N24,strike,vol,rate,q,time)</f>
        <v>0.27901851595494626</v>
      </c>
      <c r="N24" s="12">
        <f>N23+PRICER!$C$17</f>
        <v>135</v>
      </c>
    </row>
    <row r="25" spans="1:14" ht="15.75" x14ac:dyDescent="0.5">
      <c r="A25" s="19">
        <f ca="1">BSMdeltacall(B25,strike,vol,rate,q,time)</f>
        <v>0.99600109763583</v>
      </c>
      <c r="B25" s="12">
        <f>B24+PRICER!$C$17</f>
        <v>140</v>
      </c>
      <c r="D25" s="19">
        <f ca="1">BSMgamma(E25,strike,vol,rate,q,time)</f>
        <v>6.3396535474564834E-4</v>
      </c>
      <c r="E25" s="12">
        <f>E24+PRICER!$C$17</f>
        <v>140</v>
      </c>
      <c r="G25" s="19">
        <f ca="1">BSMthetacall(H25,strike,vol,rate,q,time)</f>
        <v>-9.1650740288923699E-3</v>
      </c>
      <c r="H25" s="12">
        <f>H24+PRICER!$C$17</f>
        <v>140</v>
      </c>
      <c r="J25" s="19">
        <f ca="1">BSMvega(K25,strike,vol,rate,q,time)</f>
        <v>8.8511984870789703E-3</v>
      </c>
      <c r="K25" s="12">
        <f>K24+PRICER!$C$17</f>
        <v>140</v>
      </c>
      <c r="M25" s="19">
        <f ca="1">BSMrhocall(N25,strike,vol,rate,q,time)</f>
        <v>0.2808425726387731</v>
      </c>
      <c r="N25" s="12">
        <f>N24+PRICER!$C$17</f>
        <v>140</v>
      </c>
    </row>
    <row r="26" spans="1:14" ht="15.75" x14ac:dyDescent="0.5">
      <c r="A26" s="19">
        <f ca="1">BSMdeltacall(B26,strike,vol,rate,q,time)</f>
        <v>0.99822225424854527</v>
      </c>
      <c r="B26" s="12">
        <f>B25+PRICER!$C$17</f>
        <v>145</v>
      </c>
      <c r="D26" s="19">
        <f ca="1">BSMgamma(E26,strike,vol,rate,q,time)</f>
        <v>2.943933439320939E-4</v>
      </c>
      <c r="E26" s="12">
        <f>E25+PRICER!$C$17</f>
        <v>145</v>
      </c>
      <c r="G26" s="19">
        <f ca="1">BSMthetacall(H26,strike,vol,rate,q,time)</f>
        <v>-8.6571184856789746E-3</v>
      </c>
      <c r="H26" s="12">
        <f>H25+PRICER!$C$17</f>
        <v>145</v>
      </c>
      <c r="J26" s="19">
        <f ca="1">BSMvega(K26,strike,vol,rate,q,time)</f>
        <v>4.4090444235747716E-3</v>
      </c>
      <c r="K26" s="12">
        <f>K25+PRICER!$C$17</f>
        <v>145</v>
      </c>
      <c r="M26" s="19">
        <f ca="1">BSMrhocall(N26,strike,vol,rate,q,time)</f>
        <v>0.28174242240530956</v>
      </c>
      <c r="N26" s="12">
        <f>N25+PRICER!$C$17</f>
        <v>145</v>
      </c>
    </row>
    <row r="27" spans="1:14" ht="15.75" x14ac:dyDescent="0.5">
      <c r="A27" s="19">
        <f ca="1">BSMdeltacall(B27,strike,vol,rate,q,time)</f>
        <v>0.99923561618974355</v>
      </c>
      <c r="B27" s="12">
        <f>B26+PRICER!$C$17</f>
        <v>150</v>
      </c>
      <c r="D27" s="19">
        <f ca="1">BSMgamma(E27,strike,vol,rate,q,time)</f>
        <v>1.3139078747524999E-4</v>
      </c>
      <c r="E27" s="12">
        <f>E26+PRICER!$C$17</f>
        <v>150</v>
      </c>
      <c r="G27" s="19">
        <f ca="1">BSMthetacall(H27,strike,vol,rate,q,time)</f>
        <v>-8.3925501261142513E-3</v>
      </c>
      <c r="H27" s="12">
        <f>H26+PRICER!$C$17</f>
        <v>150</v>
      </c>
      <c r="J27" s="19">
        <f ca="1">BSMvega(K27,strike,vol,rate,q,time)</f>
        <v>2.1058523472060613E-3</v>
      </c>
      <c r="K27" s="12">
        <f>K26+PRICER!$C$17</f>
        <v>150</v>
      </c>
      <c r="M27" s="19">
        <f ca="1">BSMrhocall(N27,strike,vol,rate,q,time)</f>
        <v>0.28216735292526879</v>
      </c>
      <c r="N27" s="12">
        <f>N26+PRICER!$C$17</f>
        <v>150</v>
      </c>
    </row>
    <row r="28" spans="1:14" ht="15.75" x14ac:dyDescent="0.5">
      <c r="A28" s="19">
        <f ca="1">BSMdeltacall(B28,strike,vol,rate,q,time)</f>
        <v>0.99968094935052831</v>
      </c>
      <c r="B28" s="12">
        <f>B27+PRICER!$C$17</f>
        <v>155</v>
      </c>
      <c r="D28" s="19">
        <f ca="1">BSMgamma(E28,strike,vol,rate,q,time)</f>
        <v>5.6627343951562644E-5</v>
      </c>
      <c r="E28" s="12">
        <f>E27+PRICER!$C$17</f>
        <v>155</v>
      </c>
      <c r="G28" s="19">
        <f ca="1">BSMthetacall(H28,strike,vol,rate,q,time)</f>
        <v>-8.2614908753171953E-3</v>
      </c>
      <c r="H28" s="12">
        <f>H27+PRICER!$C$17</f>
        <v>155</v>
      </c>
      <c r="J28" s="19">
        <f ca="1">BSMvega(K28,strike,vol,rate,q,time)</f>
        <v>9.6910329861215347E-4</v>
      </c>
      <c r="K28" s="12">
        <f>K27+PRICER!$C$17</f>
        <v>155</v>
      </c>
      <c r="M28" s="19">
        <f ca="1">BSMrhocall(N28,strike,vol,rate,q,time)</f>
        <v>0.28236041993344552</v>
      </c>
      <c r="N28" s="12">
        <f>N27+PRICER!$C$17</f>
        <v>155</v>
      </c>
    </row>
    <row r="29" spans="1:14" ht="15.75" x14ac:dyDescent="0.5">
      <c r="A29" s="19">
        <f ca="1">BSMdeltacall(B29,strike,vol,rate,q,time)</f>
        <v>0.99987029761121116</v>
      </c>
      <c r="B29" s="12">
        <f>B28+PRICER!$C$17</f>
        <v>160</v>
      </c>
      <c r="D29" s="19">
        <f ca="1">BSMgamma(E29,strike,vol,rate,q,time)</f>
        <v>2.3665129655343338E-5</v>
      </c>
      <c r="E29" s="12">
        <f>E28+PRICER!$C$17</f>
        <v>160</v>
      </c>
      <c r="G29" s="19">
        <f ca="1">BSMthetacall(H29,strike,vol,rate,q,time)</f>
        <v>-8.1993264606387735E-3</v>
      </c>
      <c r="H29" s="12">
        <f>H28+PRICER!$C$17</f>
        <v>160</v>
      </c>
      <c r="J29" s="19">
        <f ca="1">BSMvega(K29,strike,vol,rate,q,time)</f>
        <v>4.3154822735880899E-4</v>
      </c>
      <c r="K29" s="12">
        <f>K28+PRICER!$C$17</f>
        <v>160</v>
      </c>
      <c r="M29" s="19">
        <f ca="1">BSMrhocall(N29,strike,vol,rate,q,time)</f>
        <v>0.28244519968814913</v>
      </c>
      <c r="N29" s="12">
        <f>N28+PRICER!$C$17</f>
        <v>160</v>
      </c>
    </row>
    <row r="30" spans="1:14" ht="15.75" x14ac:dyDescent="0.5">
      <c r="A30" s="19">
        <f ca="1">BSMdeltacall(B30,strike,vol,rate,q,time)</f>
        <v>0.99994849316434575</v>
      </c>
      <c r="B30" s="12">
        <f>B29+PRICER!$C$17</f>
        <v>165</v>
      </c>
      <c r="D30" s="19">
        <f ca="1">BSMgamma(E30,strike,vol,rate,q,time)</f>
        <v>9.6248423964958292E-6</v>
      </c>
      <c r="E30" s="12">
        <f>E29+PRICER!$C$17</f>
        <v>165</v>
      </c>
      <c r="G30" s="19">
        <f ca="1">BSMthetacall(H30,strike,vol,rate,q,time)</f>
        <v>-8.1709343181383468E-3</v>
      </c>
      <c r="H30" s="12">
        <f>H29+PRICER!$C$17</f>
        <v>165</v>
      </c>
      <c r="J30" s="19">
        <f ca="1">BSMvega(K30,strike,vol,rate,q,time)</f>
        <v>1.8665601891396086E-4</v>
      </c>
      <c r="K30" s="12">
        <f>K29+PRICER!$C$17</f>
        <v>165</v>
      </c>
      <c r="M30" s="19">
        <f ca="1">BSMrhocall(N30,strike,vol,rate,q,time)</f>
        <v>0.28248132294998785</v>
      </c>
      <c r="N30" s="12">
        <f>N29+PRICER!$C$17</f>
        <v>165</v>
      </c>
    </row>
    <row r="31" spans="1:14" ht="15.75" x14ac:dyDescent="0.5">
      <c r="A31" s="19">
        <f ca="1">BSMdeltacall(B31,strike,vol,rate,q,time)</f>
        <v>0.99997996602257766</v>
      </c>
      <c r="B31" s="12">
        <f>B30+PRICER!$C$17</f>
        <v>170</v>
      </c>
      <c r="D31" s="19">
        <f ca="1">BSMgamma(E31,strike,vol,rate,q,time)</f>
        <v>3.8218610534821208E-6</v>
      </c>
      <c r="E31" s="12">
        <f>E30+PRICER!$C$17</f>
        <v>170</v>
      </c>
      <c r="G31" s="19">
        <f ca="1">BSMthetacall(H31,strike,vol,rate,q,time)</f>
        <v>-8.1583884986329257E-3</v>
      </c>
      <c r="H31" s="12">
        <f>H30+PRICER!$C$17</f>
        <v>170</v>
      </c>
      <c r="J31" s="19">
        <f ca="1">BSMvega(K31,strike,vol,rate,q,time)</f>
        <v>7.8677983440725088E-5</v>
      </c>
      <c r="K31" s="12">
        <f>K30+PRICER!$C$17</f>
        <v>170</v>
      </c>
      <c r="M31" s="19">
        <f ca="1">BSMrhocall(N31,strike,vol,rate,q,time)</f>
        <v>0.28249630968827177</v>
      </c>
      <c r="N31" s="12">
        <f>N30+PRICER!$C$17</f>
        <v>170</v>
      </c>
    </row>
    <row r="32" spans="1:14" ht="15.75" x14ac:dyDescent="0.5">
      <c r="A32" s="19">
        <f ca="1">BSMdeltacall(B32,strike,vol,rate,q,time)</f>
        <v>0.99999234943304205</v>
      </c>
      <c r="B32" s="12">
        <f>B31+PRICER!$C$17</f>
        <v>175</v>
      </c>
      <c r="D32" s="19">
        <f ca="1">BSMgamma(E32,strike,vol,rate,q,time)</f>
        <v>1.4858892732593342E-6</v>
      </c>
      <c r="E32" s="12">
        <f>E31+PRICER!$C$17</f>
        <v>175</v>
      </c>
      <c r="G32" s="19">
        <f ca="1">BSMthetacall(H32,strike,vol,rate,q,time)</f>
        <v>-8.1530031954382288E-3</v>
      </c>
      <c r="H32" s="12">
        <f>H31+PRICER!$C$17</f>
        <v>175</v>
      </c>
      <c r="J32" s="19">
        <f ca="1">BSMvega(K32,strike,vol,rate,q,time)</f>
        <v>3.2414776269390278E-5</v>
      </c>
      <c r="K32" s="12">
        <f>K31+PRICER!$C$17</f>
        <v>175</v>
      </c>
      <c r="M32" s="19">
        <f ca="1">BSMrhocall(N32,strike,vol,rate,q,time)</f>
        <v>0.28250238254073617</v>
      </c>
      <c r="N32" s="12">
        <f>N31+PRICER!$C$17</f>
        <v>175</v>
      </c>
    </row>
    <row r="70" spans="1:14" ht="15.75" x14ac:dyDescent="0.5">
      <c r="A70" s="10"/>
      <c r="B70" s="10"/>
      <c r="D70" s="10"/>
      <c r="E70" s="10"/>
      <c r="G70" s="10"/>
      <c r="H70" s="10"/>
      <c r="J70" s="10"/>
      <c r="K70" s="10"/>
      <c r="M70" s="10"/>
      <c r="N70" s="10"/>
    </row>
    <row r="71" spans="1:14" ht="15.75" x14ac:dyDescent="0.5">
      <c r="A71" s="19"/>
      <c r="B71" s="12"/>
      <c r="D71" s="19"/>
      <c r="E71" s="12"/>
      <c r="G71" s="19"/>
      <c r="H71" s="12"/>
      <c r="J71" s="19"/>
      <c r="K71" s="12"/>
      <c r="M71" s="19"/>
      <c r="N71" s="12"/>
    </row>
    <row r="72" spans="1:14" ht="15.75" x14ac:dyDescent="0.5">
      <c r="A72" s="19"/>
      <c r="B72" s="12"/>
      <c r="D72" s="19"/>
      <c r="E72" s="12"/>
      <c r="G72" s="19"/>
      <c r="H72" s="12"/>
      <c r="J72" s="19"/>
      <c r="K72" s="12"/>
      <c r="M72" s="19"/>
      <c r="N72" s="12"/>
    </row>
    <row r="73" spans="1:14" ht="15.75" x14ac:dyDescent="0.5">
      <c r="A73" s="19"/>
      <c r="B73" s="12"/>
      <c r="D73" s="19"/>
      <c r="E73" s="12"/>
      <c r="G73" s="19"/>
      <c r="H73" s="12"/>
      <c r="J73" s="19"/>
      <c r="K73" s="12"/>
      <c r="M73" s="19"/>
      <c r="N73" s="12"/>
    </row>
    <row r="74" spans="1:14" ht="15.75" x14ac:dyDescent="0.5">
      <c r="A74" s="19"/>
      <c r="B74" s="12"/>
      <c r="D74" s="19"/>
      <c r="E74" s="12"/>
      <c r="G74" s="19"/>
      <c r="H74" s="12"/>
      <c r="J74" s="19"/>
      <c r="K74" s="12"/>
      <c r="M74" s="19"/>
      <c r="N74" s="12"/>
    </row>
    <row r="75" spans="1:14" ht="15.75" x14ac:dyDescent="0.5">
      <c r="A75" s="19"/>
      <c r="B75" s="12"/>
      <c r="D75" s="19"/>
      <c r="E75" s="12"/>
      <c r="G75" s="19"/>
      <c r="H75" s="12"/>
      <c r="J75" s="19"/>
      <c r="K75" s="12"/>
      <c r="M75" s="19"/>
      <c r="N75" s="12"/>
    </row>
    <row r="76" spans="1:14" ht="15.75" x14ac:dyDescent="0.5">
      <c r="A76" s="19"/>
      <c r="B76" s="12"/>
      <c r="D76" s="19"/>
      <c r="E76" s="12"/>
      <c r="G76" s="19"/>
      <c r="H76" s="12"/>
      <c r="J76" s="19"/>
      <c r="K76" s="12"/>
      <c r="M76" s="19"/>
      <c r="N76" s="12"/>
    </row>
    <row r="77" spans="1:14" ht="15.75" x14ac:dyDescent="0.5">
      <c r="A77" s="19"/>
      <c r="B77" s="12"/>
      <c r="D77" s="19"/>
      <c r="E77" s="12"/>
      <c r="G77" s="19"/>
      <c r="H77" s="12"/>
      <c r="J77" s="19"/>
      <c r="K77" s="12"/>
      <c r="M77" s="19"/>
      <c r="N77" s="12"/>
    </row>
    <row r="78" spans="1:14" ht="15.75" x14ac:dyDescent="0.5">
      <c r="A78" s="19"/>
      <c r="B78" s="12"/>
      <c r="D78" s="19"/>
      <c r="E78" s="12"/>
      <c r="G78" s="19"/>
      <c r="H78" s="12"/>
      <c r="J78" s="19"/>
      <c r="K78" s="12"/>
      <c r="M78" s="19"/>
      <c r="N78" s="12"/>
    </row>
    <row r="79" spans="1:14" ht="15.75" x14ac:dyDescent="0.5">
      <c r="A79" s="19"/>
      <c r="B79" s="12"/>
      <c r="D79" s="19"/>
      <c r="E79" s="12"/>
      <c r="G79" s="19"/>
      <c r="H79" s="12"/>
      <c r="J79" s="19"/>
      <c r="K79" s="12"/>
      <c r="M79" s="19"/>
      <c r="N79" s="12"/>
    </row>
    <row r="80" spans="1:14" ht="15.75" x14ac:dyDescent="0.5">
      <c r="A80" s="19"/>
      <c r="B80" s="12"/>
      <c r="D80" s="19"/>
      <c r="E80" s="12"/>
      <c r="G80" s="19"/>
      <c r="H80" s="12"/>
      <c r="J80" s="19"/>
      <c r="K80" s="12"/>
      <c r="M80" s="19"/>
      <c r="N80" s="12"/>
    </row>
    <row r="81" spans="1:14" ht="15.75" x14ac:dyDescent="0.5">
      <c r="A81" s="19"/>
      <c r="B81" s="12"/>
      <c r="D81" s="19"/>
      <c r="E81" s="12"/>
      <c r="G81" s="19"/>
      <c r="H81" s="12"/>
      <c r="J81" s="19"/>
      <c r="K81" s="12"/>
      <c r="M81" s="19"/>
      <c r="N81" s="12"/>
    </row>
    <row r="82" spans="1:14" ht="15.75" x14ac:dyDescent="0.5">
      <c r="A82" s="19"/>
      <c r="B82" s="12"/>
      <c r="D82" s="19"/>
      <c r="E82" s="12"/>
      <c r="G82" s="19"/>
      <c r="H82" s="12"/>
      <c r="J82" s="19"/>
      <c r="K82" s="12"/>
      <c r="M82" s="19"/>
      <c r="N82" s="12"/>
    </row>
    <row r="83" spans="1:14" ht="15.75" x14ac:dyDescent="0.5">
      <c r="A83" s="19"/>
      <c r="B83" s="12"/>
      <c r="D83" s="19"/>
      <c r="E83" s="12"/>
      <c r="G83" s="19"/>
      <c r="H83" s="12"/>
      <c r="J83" s="19"/>
      <c r="K83" s="12"/>
      <c r="M83" s="19"/>
      <c r="N83" s="12"/>
    </row>
    <row r="84" spans="1:14" ht="15.75" x14ac:dyDescent="0.5">
      <c r="A84" s="19"/>
      <c r="B84" s="12"/>
      <c r="D84" s="19"/>
      <c r="E84" s="12"/>
      <c r="G84" s="19"/>
      <c r="H84" s="12"/>
      <c r="J84" s="19"/>
      <c r="K84" s="12"/>
      <c r="M84" s="19"/>
      <c r="N84" s="12"/>
    </row>
    <row r="85" spans="1:14" ht="15.75" x14ac:dyDescent="0.5">
      <c r="A85" s="19"/>
      <c r="B85" s="12"/>
      <c r="D85" s="19"/>
      <c r="E85" s="12"/>
      <c r="G85" s="19"/>
      <c r="H85" s="12"/>
      <c r="J85" s="19"/>
      <c r="K85" s="12"/>
      <c r="M85" s="19"/>
      <c r="N85" s="12"/>
    </row>
    <row r="86" spans="1:14" ht="15.75" x14ac:dyDescent="0.5">
      <c r="A86" s="19"/>
      <c r="B86" s="12"/>
      <c r="D86" s="19"/>
      <c r="E86" s="12"/>
      <c r="G86" s="19"/>
      <c r="H86" s="12"/>
      <c r="J86" s="19"/>
      <c r="K86" s="12"/>
      <c r="M86" s="19"/>
      <c r="N86" s="12"/>
    </row>
    <row r="87" spans="1:14" ht="15.75" x14ac:dyDescent="0.5">
      <c r="A87" s="19"/>
      <c r="B87" s="12"/>
      <c r="D87" s="19"/>
      <c r="E87" s="12"/>
      <c r="G87" s="19"/>
      <c r="H87" s="12"/>
      <c r="J87" s="19"/>
      <c r="K87" s="12"/>
      <c r="M87" s="19"/>
      <c r="N87" s="12"/>
    </row>
    <row r="88" spans="1:14" ht="15.75" x14ac:dyDescent="0.5">
      <c r="A88" s="19"/>
      <c r="B88" s="12"/>
      <c r="D88" s="19"/>
      <c r="E88" s="12"/>
      <c r="G88" s="19"/>
      <c r="H88" s="12"/>
      <c r="J88" s="19"/>
      <c r="K88" s="12"/>
      <c r="M88" s="19"/>
      <c r="N88" s="12"/>
    </row>
    <row r="89" spans="1:14" ht="15.75" x14ac:dyDescent="0.5">
      <c r="A89" s="19"/>
      <c r="B89" s="12"/>
      <c r="D89" s="19"/>
      <c r="E89" s="12"/>
      <c r="G89" s="19"/>
      <c r="H89" s="12"/>
      <c r="J89" s="19"/>
      <c r="K89" s="12"/>
      <c r="M89" s="19"/>
      <c r="N89" s="12"/>
    </row>
    <row r="90" spans="1:14" ht="15.75" x14ac:dyDescent="0.5">
      <c r="A90" s="19"/>
      <c r="B90" s="12"/>
      <c r="D90" s="19"/>
      <c r="E90" s="12"/>
      <c r="G90" s="19"/>
      <c r="H90" s="12"/>
      <c r="J90" s="19"/>
      <c r="K90" s="12"/>
      <c r="M90" s="19"/>
      <c r="N90" s="12"/>
    </row>
    <row r="91" spans="1:14" ht="15.75" x14ac:dyDescent="0.5">
      <c r="A91" s="19"/>
      <c r="B91" s="12"/>
      <c r="D91" s="19"/>
      <c r="E91" s="12"/>
      <c r="G91" s="19"/>
      <c r="H91" s="12"/>
      <c r="J91" s="19"/>
      <c r="K91" s="12"/>
      <c r="M91" s="19"/>
      <c r="N91" s="12"/>
    </row>
    <row r="92" spans="1:14" ht="15.75" x14ac:dyDescent="0.5">
      <c r="A92" s="19"/>
      <c r="B92" s="12"/>
      <c r="D92" s="19"/>
      <c r="E92" s="12"/>
      <c r="G92" s="19"/>
      <c r="H92" s="12"/>
      <c r="J92" s="19"/>
      <c r="K92" s="12"/>
      <c r="M92" s="19"/>
      <c r="N92" s="12"/>
    </row>
    <row r="93" spans="1:14" ht="15.75" x14ac:dyDescent="0.5">
      <c r="A93" s="19"/>
      <c r="B93" s="12"/>
      <c r="D93" s="19"/>
      <c r="E93" s="12"/>
      <c r="G93" s="19"/>
      <c r="H93" s="12"/>
      <c r="J93" s="19"/>
      <c r="K93" s="12"/>
      <c r="M93" s="19"/>
      <c r="N93" s="12"/>
    </row>
    <row r="94" spans="1:14" ht="15.75" x14ac:dyDescent="0.5">
      <c r="A94" s="19"/>
      <c r="B94" s="12"/>
      <c r="D94" s="19"/>
      <c r="E94" s="12"/>
      <c r="G94" s="19"/>
      <c r="H94" s="12"/>
      <c r="J94" s="19"/>
      <c r="K94" s="12"/>
      <c r="M94" s="19"/>
      <c r="N94" s="12"/>
    </row>
    <row r="95" spans="1:14" ht="15.75" x14ac:dyDescent="0.5">
      <c r="A95" s="19"/>
      <c r="B95" s="12"/>
      <c r="D95" s="19"/>
      <c r="E95" s="12"/>
      <c r="G95" s="19"/>
      <c r="H95" s="12"/>
      <c r="J95" s="19"/>
      <c r="K95" s="12"/>
      <c r="M95" s="19"/>
      <c r="N95" s="12"/>
    </row>
    <row r="96" spans="1:14" ht="15.75" x14ac:dyDescent="0.5">
      <c r="A96" s="19"/>
      <c r="B96" s="12"/>
      <c r="D96" s="19"/>
      <c r="E96" s="12"/>
      <c r="G96" s="19"/>
      <c r="H96" s="12"/>
      <c r="J96" s="19"/>
      <c r="K96" s="12"/>
      <c r="M96" s="19"/>
      <c r="N96" s="12"/>
    </row>
    <row r="97" spans="1:14" ht="15.75" x14ac:dyDescent="0.5">
      <c r="A97" s="19"/>
      <c r="B97" s="12"/>
      <c r="D97" s="19"/>
      <c r="E97" s="12"/>
      <c r="G97" s="19"/>
      <c r="H97" s="12"/>
      <c r="J97" s="19"/>
      <c r="K97" s="12"/>
      <c r="M97" s="19"/>
      <c r="N97" s="12"/>
    </row>
    <row r="98" spans="1:14" ht="15.75" x14ac:dyDescent="0.5">
      <c r="A98" s="19"/>
      <c r="B98" s="12"/>
      <c r="D98" s="19"/>
      <c r="E98" s="12"/>
      <c r="G98" s="19"/>
      <c r="H98" s="12"/>
      <c r="J98" s="19"/>
      <c r="K98" s="12"/>
      <c r="M98" s="19"/>
      <c r="N98" s="12"/>
    </row>
    <row r="99" spans="1:14" ht="15.75" x14ac:dyDescent="0.5">
      <c r="A99" s="19"/>
      <c r="B99" s="12"/>
      <c r="D99" s="19"/>
      <c r="E99" s="12"/>
      <c r="G99" s="19"/>
      <c r="H99" s="12"/>
      <c r="J99" s="19"/>
      <c r="K99" s="12"/>
      <c r="M99" s="19"/>
      <c r="N99" s="12"/>
    </row>
    <row r="100" spans="1:14" ht="15.75" x14ac:dyDescent="0.5">
      <c r="A100" s="19"/>
      <c r="B100" s="12"/>
      <c r="D100" s="19"/>
      <c r="E100" s="12"/>
      <c r="G100" s="19"/>
      <c r="H100" s="12"/>
      <c r="J100" s="19"/>
      <c r="K100" s="12"/>
      <c r="M100" s="19"/>
      <c r="N100" s="12"/>
    </row>
    <row r="101" spans="1:14" ht="15.75" x14ac:dyDescent="0.5">
      <c r="A101" s="19"/>
      <c r="B101" s="12"/>
      <c r="D101" s="19"/>
      <c r="E101" s="12"/>
      <c r="G101" s="19"/>
      <c r="H101" s="12"/>
      <c r="J101" s="19"/>
      <c r="K101" s="12"/>
      <c r="M101" s="19"/>
      <c r="N101" s="1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07079-4193-483F-B671-1D6B37A090DD}">
  <sheetPr codeName="Feuil5"/>
  <dimension ref="A1:N32"/>
  <sheetViews>
    <sheetView workbookViewId="0">
      <selection activeCell="N17" sqref="N17"/>
    </sheetView>
  </sheetViews>
  <sheetFormatPr baseColWidth="10" defaultRowHeight="14.25" x14ac:dyDescent="0.45"/>
  <sheetData>
    <row r="1" spans="1:14" ht="15.75" x14ac:dyDescent="0.5">
      <c r="A1" s="10" t="s">
        <v>68</v>
      </c>
      <c r="B1" s="10" t="s">
        <v>30</v>
      </c>
      <c r="D1" s="10" t="s">
        <v>65</v>
      </c>
      <c r="E1" s="10" t="s">
        <v>30</v>
      </c>
      <c r="G1" s="10" t="s">
        <v>66</v>
      </c>
      <c r="H1" s="10" t="s">
        <v>30</v>
      </c>
      <c r="J1" s="10" t="s">
        <v>67</v>
      </c>
      <c r="K1" s="10" t="s">
        <v>30</v>
      </c>
      <c r="M1" s="10" t="s">
        <v>28</v>
      </c>
      <c r="N1" s="10" t="s">
        <v>30</v>
      </c>
    </row>
    <row r="2" spans="1:14" ht="15.75" x14ac:dyDescent="0.5">
      <c r="A2" s="19">
        <f ca="1">BSMdeltaput(B2,strike,vol,rate,q,time)</f>
        <v>-1</v>
      </c>
      <c r="B2" s="12">
        <f>B3-PRICER!$C$17</f>
        <v>25</v>
      </c>
      <c r="D2" s="19">
        <f ca="1">BSMgamma(E2,strike,vol,rate,q,time)</f>
        <v>1.6984620646394363E-24</v>
      </c>
      <c r="E2" s="12">
        <f>E3-PRICER!$C$17</f>
        <v>25</v>
      </c>
      <c r="G2" s="19">
        <f ca="1">BSMthetaput(H2,strike,vol,rate,q,time)</f>
        <v>8.149220421404672E-3</v>
      </c>
      <c r="H2" s="12">
        <f>H3-PRICER!$C$17</f>
        <v>25</v>
      </c>
      <c r="J2" s="19">
        <f ca="1">BSMvega(K2,strike,vol,rate,q,time)</f>
        <v>7.5616461781892725E-25</v>
      </c>
      <c r="K2" s="12">
        <f>K3-PRICER!$C$17</f>
        <v>25</v>
      </c>
      <c r="M2" s="19">
        <f ca="1">BSMrhoput(N2,strike,vol,rate,q,time)</f>
        <v>-0.28250630794202863</v>
      </c>
      <c r="N2" s="12">
        <f>N3-PRICER!$C$17</f>
        <v>25</v>
      </c>
    </row>
    <row r="3" spans="1:14" ht="15.75" x14ac:dyDescent="0.5">
      <c r="A3" s="19">
        <f ca="1">BSMdeltaput(B3,strike,vol,rate,q,time)</f>
        <v>-1</v>
      </c>
      <c r="B3" s="12">
        <f>B4-PRICER!$C$17</f>
        <v>30</v>
      </c>
      <c r="D3" s="19">
        <f ca="1">BSMgamma(E3,strike,vol,rate,q,time)</f>
        <v>6.7900072988530265E-19</v>
      </c>
      <c r="E3" s="12">
        <f>E4-PRICER!$C$17</f>
        <v>30</v>
      </c>
      <c r="G3" s="19">
        <f ca="1">BSMthetaput(H3,strike,vol,rate,q,time)</f>
        <v>8.149220421404672E-3</v>
      </c>
      <c r="H3" s="12">
        <f>H4-PRICER!$C$17</f>
        <v>30</v>
      </c>
      <c r="J3" s="19">
        <f ca="1">BSMvega(K3,strike,vol,rate,q,time)</f>
        <v>4.3530457751550915E-19</v>
      </c>
      <c r="K3" s="12">
        <f>K4-PRICER!$C$17</f>
        <v>30</v>
      </c>
      <c r="M3" s="19">
        <f ca="1">BSMrhoput(N3,strike,vol,rate,q,time)</f>
        <v>-0.28250630794202863</v>
      </c>
      <c r="N3" s="12">
        <f>N4-PRICER!$C$17</f>
        <v>30</v>
      </c>
    </row>
    <row r="4" spans="1:14" ht="15.75" x14ac:dyDescent="0.5">
      <c r="A4" s="19">
        <f ca="1">BSMdeltaput(B4,strike,vol,rate,q,time)</f>
        <v>-0.99999999999999489</v>
      </c>
      <c r="B4" s="12">
        <f>B5-PRICER!$C$17</f>
        <v>35</v>
      </c>
      <c r="D4" s="19">
        <f ca="1">BSMgamma(E4,strike,vol,rate,q,time)</f>
        <v>8.6234979435261153E-15</v>
      </c>
      <c r="E4" s="12">
        <f>E5-PRICER!$C$17</f>
        <v>35</v>
      </c>
      <c r="G4" s="19">
        <f ca="1">BSMthetaput(H4,strike,vol,rate,q,time)</f>
        <v>8.1492204214037526E-3</v>
      </c>
      <c r="H4" s="12">
        <f>H5-PRICER!$C$17</f>
        <v>35</v>
      </c>
      <c r="J4" s="19">
        <f ca="1">BSMvega(K4,strike,vol,rate,q,time)</f>
        <v>7.5248879315426517E-15</v>
      </c>
      <c r="K4" s="12">
        <f>K5-PRICER!$C$17</f>
        <v>35</v>
      </c>
      <c r="M4" s="19">
        <f ca="1">BSMrhoput(N4,strike,vol,rate,q,time)</f>
        <v>-0.28250630794202813</v>
      </c>
      <c r="N4" s="12">
        <f>N5-PRICER!$C$17</f>
        <v>35</v>
      </c>
    </row>
    <row r="5" spans="1:14" ht="15.75" x14ac:dyDescent="0.5">
      <c r="A5" s="19">
        <f ca="1">BSMdeltaput(B5,strike,vol,rate,q,time)</f>
        <v>-0.99999999999183309</v>
      </c>
      <c r="B5" s="12">
        <f>B6-PRICER!$C$17</f>
        <v>40</v>
      </c>
      <c r="D5" s="19">
        <f ca="1">BSMgamma(E5,strike,vol,rate,q,time)</f>
        <v>1.0523350359634348E-11</v>
      </c>
      <c r="E5" s="12">
        <f>E6-PRICER!$C$17</f>
        <v>40</v>
      </c>
      <c r="G5" s="19">
        <f ca="1">BSMthetaput(H5,strike,vol,rate,q,time)</f>
        <v>8.1492204199367681E-3</v>
      </c>
      <c r="H5" s="12">
        <f>H6-PRICER!$C$17</f>
        <v>40</v>
      </c>
      <c r="J5" s="19">
        <f ca="1">BSMvega(K5,strike,vol,rate,q,time)</f>
        <v>1.1993736300295588E-11</v>
      </c>
      <c r="K5" s="12">
        <f>K6-PRICER!$C$17</f>
        <v>40</v>
      </c>
      <c r="M5" s="19">
        <f ca="1">BSMrhoput(N5,strike,vol,rate,q,time)</f>
        <v>-0.2825063079411152</v>
      </c>
      <c r="N5" s="12">
        <f>N6-PRICER!$C$17</f>
        <v>40</v>
      </c>
    </row>
    <row r="6" spans="1:14" ht="15.75" x14ac:dyDescent="0.5">
      <c r="A6" s="19">
        <f ca="1">BSMdeltaput(B6,strike,vol,rate,q,time)</f>
        <v>-0.999999997584749</v>
      </c>
      <c r="B6" s="12">
        <f>B7-PRICER!$C$17</f>
        <v>45</v>
      </c>
      <c r="D6" s="19">
        <f ca="1">BSMgamma(E6,strike,vol,rate,q,time)</f>
        <v>2.4192172069650698E-9</v>
      </c>
      <c r="E6" s="12">
        <f>E7-PRICER!$C$17</f>
        <v>45</v>
      </c>
      <c r="G6" s="19">
        <f ca="1">BSMthetaput(H6,strike,vol,rate,q,time)</f>
        <v>8.1492199932331373E-3</v>
      </c>
      <c r="H6" s="12">
        <f>H7-PRICER!$C$17</f>
        <v>45</v>
      </c>
      <c r="J6" s="19">
        <f ca="1">BSMvega(K6,strike,vol,rate,q,time)</f>
        <v>3.489637971142766E-9</v>
      </c>
      <c r="K6" s="12">
        <f>K7-PRICER!$C$17</f>
        <v>45</v>
      </c>
      <c r="M6" s="19">
        <f ca="1">BSMrhoput(N6,strike,vol,rate,q,time)</f>
        <v>-0.28250630763890699</v>
      </c>
      <c r="N6" s="12">
        <f>N7-PRICER!$C$17</f>
        <v>45</v>
      </c>
    </row>
    <row r="7" spans="1:14" ht="15.75" x14ac:dyDescent="0.5">
      <c r="A7" s="19">
        <f ca="1">BSMdeltaput(B7,strike,vol,rate,q,time)</f>
        <v>-0.99999979405638573</v>
      </c>
      <c r="B7" s="12">
        <f>B8-PRICER!$C$17</f>
        <v>50</v>
      </c>
      <c r="D7" s="19">
        <f ca="1">BSMgamma(E7,strike,vol,rate,q,time)</f>
        <v>1.6197504868325509E-7</v>
      </c>
      <c r="E7" s="12">
        <f>E8-PRICER!$C$17</f>
        <v>50</v>
      </c>
      <c r="G7" s="19">
        <f ca="1">BSMthetaput(H7,strike,vol,rate,q,time)</f>
        <v>8.1491849260903193E-3</v>
      </c>
      <c r="H7" s="12">
        <f>H8-PRICER!$C$17</f>
        <v>50</v>
      </c>
      <c r="J7" s="19">
        <f ca="1">BSMvega(K7,strike,vol,rate,q,time)</f>
        <v>2.8844871683319404E-7</v>
      </c>
      <c r="K7" s="12">
        <f>K8-PRICER!$C$17</f>
        <v>50</v>
      </c>
      <c r="M7" s="19">
        <f ca="1">BSMrhoput(N7,strike,vol,rate,q,time)</f>
        <v>-0.28250627930745126</v>
      </c>
      <c r="N7" s="12">
        <f>N8-PRICER!$C$17</f>
        <v>50</v>
      </c>
    </row>
    <row r="8" spans="1:14" ht="15.75" x14ac:dyDescent="0.5">
      <c r="A8" s="19">
        <f ca="1">BSMdeltaput(B8,strike,vol,rate,q,time)</f>
        <v>-0.99999316715941233</v>
      </c>
      <c r="B8" s="12">
        <f>B9-PRICER!$C$17</f>
        <v>55</v>
      </c>
      <c r="D8" s="19">
        <f ca="1">BSMgamma(E8,strike,vol,rate,q,time)</f>
        <v>4.2446864362029691E-6</v>
      </c>
      <c r="E8" s="12">
        <f>E9-PRICER!$C$17</f>
        <v>55</v>
      </c>
      <c r="G8" s="19">
        <f ca="1">BSMthetaput(H8,strike,vol,rate,q,time)</f>
        <v>8.1480910471953567E-3</v>
      </c>
      <c r="H8" s="12">
        <f>H9-PRICER!$C$17</f>
        <v>55</v>
      </c>
      <c r="J8" s="19">
        <f ca="1">BSMvega(K8,strike,vol,rate,q,time)</f>
        <v>9.1464270741743448E-6</v>
      </c>
      <c r="K8" s="12">
        <f>K9-PRICER!$C$17</f>
        <v>55</v>
      </c>
      <c r="M8" s="19">
        <f ca="1">BSMrhoput(N8,strike,vol,rate,q,time)</f>
        <v>-0.28250526641558144</v>
      </c>
      <c r="N8" s="12">
        <f>N9-PRICER!$C$17</f>
        <v>55</v>
      </c>
    </row>
    <row r="9" spans="1:14" ht="15.75" x14ac:dyDescent="0.5">
      <c r="A9" s="19">
        <f ca="1">BSMdeltaput(B9,strike,vol,rate,q,time)</f>
        <v>-0.99989097798586579</v>
      </c>
      <c r="B9" s="12">
        <f>B10-PRICER!$C$17</f>
        <v>60</v>
      </c>
      <c r="D9" s="19">
        <f ca="1">BSMgamma(E9,strike,vol,rate,q,time)</f>
        <v>5.3616734479100318E-5</v>
      </c>
      <c r="E9" s="12">
        <f>E10-PRICER!$C$17</f>
        <v>60</v>
      </c>
      <c r="G9" s="19">
        <f ca="1">BSMthetaput(H9,strike,vol,rate,q,time)</f>
        <v>8.1321738220643622E-3</v>
      </c>
      <c r="H9" s="12">
        <f>H10-PRICER!$C$17</f>
        <v>60</v>
      </c>
      <c r="J9" s="19">
        <f ca="1">BSMvega(K9,strike,vol,rate,q,time)</f>
        <v>1.3749387252722715E-4</v>
      </c>
      <c r="K9" s="12">
        <f>K10-PRICER!$C$17</f>
        <v>60</v>
      </c>
      <c r="M9" s="19">
        <f ca="1">BSMrhoput(N9,strike,vol,rate,q,time)</f>
        <v>-0.28248825030042801</v>
      </c>
      <c r="N9" s="12">
        <f>N10-PRICER!$C$17</f>
        <v>60</v>
      </c>
    </row>
    <row r="10" spans="1:14" ht="15.75" x14ac:dyDescent="0.5">
      <c r="A10" s="19">
        <f ca="1">BSMdeltaput(B10,strike,vol,rate,q,time)</f>
        <v>-0.999023640728118</v>
      </c>
      <c r="B10" s="12">
        <f>B11-PRICER!$C$17</f>
        <v>65</v>
      </c>
      <c r="D10" s="19">
        <f ca="1">BSMgamma(E10,strike,vol,rate,q,time)</f>
        <v>3.7974629872622342E-4</v>
      </c>
      <c r="E10" s="12">
        <f>E11-PRICER!$C$17</f>
        <v>65</v>
      </c>
      <c r="G10" s="19">
        <f ca="1">BSMthetaput(H10,strike,vol,rate,q,time)</f>
        <v>8.006824744000279E-3</v>
      </c>
      <c r="H10" s="12">
        <f>H11-PRICER!$C$17</f>
        <v>65</v>
      </c>
      <c r="J10" s="19">
        <f ca="1">BSMvega(K10,strike,vol,rate,q,time)</f>
        <v>1.1428802990431685E-3</v>
      </c>
      <c r="K10" s="12">
        <f>K11-PRICER!$C$17</f>
        <v>65</v>
      </c>
      <c r="M10" s="19">
        <f ca="1">BSMrhoput(N10,strike,vol,rate,q,time)</f>
        <v>-0.28233192570468957</v>
      </c>
      <c r="N10" s="12">
        <f>N11-PRICER!$C$17</f>
        <v>65</v>
      </c>
    </row>
    <row r="11" spans="1:14" ht="15.75" x14ac:dyDescent="0.5">
      <c r="A11" s="19">
        <f ca="1">BSMdeltaput(B11,strike,vol,rate,q,time)</f>
        <v>-0.99448893192588561</v>
      </c>
      <c r="B11" s="12">
        <f>B12-PRICER!$C$17</f>
        <v>70</v>
      </c>
      <c r="D11" s="19">
        <f ca="1">BSMgamma(E11,strike,vol,rate,q,time)</f>
        <v>1.6879194371976138E-3</v>
      </c>
      <c r="E11" s="12">
        <f>E12-PRICER!$C$17</f>
        <v>70</v>
      </c>
      <c r="G11" s="19">
        <f ca="1">BSMthetaput(H11,strike,vol,rate,q,time)</f>
        <v>7.4106945499714657E-3</v>
      </c>
      <c r="H11" s="12">
        <f>H12-PRICER!$C$17</f>
        <v>70</v>
      </c>
      <c r="J11" s="19">
        <f ca="1">BSMvega(K11,strike,vol,rate,q,time)</f>
        <v>5.8915325013418089E-3</v>
      </c>
      <c r="K11" s="12">
        <f>K12-PRICER!$C$17</f>
        <v>70</v>
      </c>
      <c r="M11" s="19">
        <f ca="1">BSMrhoput(N11,strike,vol,rate,q,time)</f>
        <v>-0.28145212982126838</v>
      </c>
      <c r="N11" s="12">
        <f>N12-PRICER!$C$17</f>
        <v>70</v>
      </c>
    </row>
    <row r="12" spans="1:14" ht="15.75" x14ac:dyDescent="0.5">
      <c r="A12" s="19">
        <f ca="1">BSMdeltaput(B12,strike,vol,rate,q,time)</f>
        <v>-0.97856591473788523</v>
      </c>
      <c r="B12" s="12">
        <f>B13-PRICER!$C$17</f>
        <v>75</v>
      </c>
      <c r="D12" s="19">
        <f ca="1">BSMgamma(E12,strike,vol,rate,q,time)</f>
        <v>5.1298664269865367E-3</v>
      </c>
      <c r="E12" s="12">
        <f>E13-PRICER!$C$17</f>
        <v>75</v>
      </c>
      <c r="G12" s="19">
        <f ca="1">BSMthetaput(H12,strike,vol,rate,q,time)</f>
        <v>5.5528357340141402E-3</v>
      </c>
      <c r="H12" s="12">
        <f>H13-PRICER!$C$17</f>
        <v>75</v>
      </c>
      <c r="J12" s="19">
        <f ca="1">BSMvega(K12,strike,vol,rate,q,time)</f>
        <v>2.055460177936386E-2</v>
      </c>
      <c r="K12" s="12">
        <f>K13-PRICER!$C$17</f>
        <v>75</v>
      </c>
      <c r="M12" s="19">
        <f ca="1">BSMrhoput(N12,strike,vol,rate,q,time)</f>
        <v>-0.27814247952650628</v>
      </c>
      <c r="N12" s="12">
        <f>N13-PRICER!$C$17</f>
        <v>75</v>
      </c>
    </row>
    <row r="13" spans="1:14" ht="15.75" x14ac:dyDescent="0.5">
      <c r="A13" s="19">
        <f ca="1">BSMdeltaput(B13,strike,vol,rate,q,time)</f>
        <v>-0.93838626975080841</v>
      </c>
      <c r="B13" s="12">
        <f>B14-PRICER!$C$17</f>
        <v>80</v>
      </c>
      <c r="D13" s="19">
        <f ca="1">BSMgamma(E13,strike,vol,rate,q,time)</f>
        <v>1.1392228277620556E-2</v>
      </c>
      <c r="E13" s="12">
        <f>E14-PRICER!$C$17</f>
        <v>80</v>
      </c>
      <c r="G13" s="19">
        <f ca="1">BSMthetaput(H13,strike,vol,rate,q,time)</f>
        <v>1.5240099076541515E-3</v>
      </c>
      <c r="H13" s="12">
        <f>H14-PRICER!$C$17</f>
        <v>80</v>
      </c>
      <c r="J13" s="19">
        <f ca="1">BSMvega(K13,strike,vol,rate,q,time)</f>
        <v>5.1936076312220844E-2</v>
      </c>
      <c r="K13" s="12">
        <f>K14-PRICER!$C$17</f>
        <v>80</v>
      </c>
      <c r="M13" s="19">
        <f ca="1">BSMrhoput(N13,strike,vol,rate,q,time)</f>
        <v>-0.26923266143293079</v>
      </c>
      <c r="N13" s="12">
        <f>N14-PRICER!$C$17</f>
        <v>80</v>
      </c>
    </row>
    <row r="14" spans="1:14" ht="15.75" x14ac:dyDescent="0.5">
      <c r="A14" s="19">
        <f ca="1">BSMdeltaput(B14,strike,vol,rate,q,time)</f>
        <v>-0.86149733800364214</v>
      </c>
      <c r="B14" s="12">
        <f>B15-PRICER!$C$17</f>
        <v>85</v>
      </c>
      <c r="D14" s="19">
        <f ca="1">BSMgamma(E14,strike,vol,rate,q,time)</f>
        <v>1.9479275975825227E-2</v>
      </c>
      <c r="E14" s="12">
        <f>E15-PRICER!$C$17</f>
        <v>85</v>
      </c>
      <c r="G14" s="19">
        <f ca="1">BSMthetaput(H14,strike,vol,rate,q,time)</f>
        <v>-4.8059028223346369E-3</v>
      </c>
      <c r="H14" s="12">
        <f>H15-PRICER!$C$17</f>
        <v>85</v>
      </c>
      <c r="J14" s="19">
        <f ca="1">BSMvega(K14,strike,vol,rate,q,time)</f>
        <v>0.10025156142626764</v>
      </c>
      <c r="K14" s="12">
        <f>K15-PRICER!$C$17</f>
        <v>85</v>
      </c>
      <c r="M14" s="19">
        <f ca="1">BSMrhoput(N14,strike,vol,rate,q,time)</f>
        <v>-0.2511102081018477</v>
      </c>
      <c r="N14" s="12">
        <f>N15-PRICER!$C$17</f>
        <v>85</v>
      </c>
    </row>
    <row r="15" spans="1:14" ht="15.75" x14ac:dyDescent="0.5">
      <c r="A15" s="19">
        <f ca="1">BSMdeltaput(B15,strike,vol,rate,q,time)</f>
        <v>-0.74497174374475561</v>
      </c>
      <c r="B15" s="12">
        <f>B16-PRICER!$C$17</f>
        <v>90</v>
      </c>
      <c r="D15" s="19">
        <f ca="1">BSMgamma(E15,strike,vol,rate,q,time)</f>
        <v>2.6737821011496268E-2</v>
      </c>
      <c r="E15" s="12">
        <f>E16-PRICER!$C$17</f>
        <v>90</v>
      </c>
      <c r="G15" s="19">
        <f ca="1">BSMthetaput(H15,strike,vol,rate,q,time)</f>
        <v>-1.2138209764046877E-2</v>
      </c>
      <c r="H15" s="12">
        <f>H16-PRICER!$C$17</f>
        <v>90</v>
      </c>
      <c r="J15" s="19">
        <f ca="1">BSMvega(K15,strike,vol,rate,q,time)</f>
        <v>0.15427356452112642</v>
      </c>
      <c r="K15" s="12">
        <f>K16-PRICER!$C$17</f>
        <v>90</v>
      </c>
      <c r="M15" s="19">
        <f ca="1">BSMrhoput(N15,strike,vol,rate,q,time)</f>
        <v>-0.22201524701773503</v>
      </c>
      <c r="N15" s="12">
        <f>N16-PRICER!$C$17</f>
        <v>90</v>
      </c>
    </row>
    <row r="16" spans="1:14" ht="15.75" x14ac:dyDescent="0.5">
      <c r="A16" s="19">
        <f ca="1">BSMdeltaput(B16,strike,vol,rate,q,time)</f>
        <v>-0.60009471665793324</v>
      </c>
      <c r="B16" s="12">
        <f>B17-PRICER!$C$17</f>
        <v>95</v>
      </c>
      <c r="D16" s="19">
        <f ca="1">BSMgamma(E16,strike,vol,rate,q,time)</f>
        <v>3.04727524496008E-2</v>
      </c>
      <c r="E16" s="12">
        <f>E17-PRICER!$C$17</f>
        <v>95</v>
      </c>
      <c r="G16" s="19">
        <f ca="1">BSMthetaput(H16,strike,vol,rate,q,time)</f>
        <v>-1.8243759963118614E-2</v>
      </c>
      <c r="H16" s="12">
        <f>H17-PRICER!$C$17</f>
        <v>95</v>
      </c>
      <c r="J16" s="19">
        <f ca="1">BSMvega(K16,strike,vol,rate,q,time)</f>
        <v>0.19590222910407751</v>
      </c>
      <c r="K16" s="12">
        <f>K17-PRICER!$C$17</f>
        <v>95</v>
      </c>
      <c r="M16" s="19">
        <f ca="1">BSMrhoput(N16,strike,vol,rate,q,time)</f>
        <v>-0.18380894254554433</v>
      </c>
      <c r="N16" s="12">
        <f>N17-PRICER!$C$17</f>
        <v>95</v>
      </c>
    </row>
    <row r="17" spans="1:14" ht="15.75" x14ac:dyDescent="0.5">
      <c r="A17" s="19">
        <f ca="1">BSMdeltaput(B17,strike,vol,rate,q,time)</f>
        <v>-0.44797526928404219</v>
      </c>
      <c r="B17" s="23">
        <f>spot</f>
        <v>100</v>
      </c>
      <c r="D17" s="19">
        <f ca="1">BSMgamma(E17,strike,vol,rate,q,time)</f>
        <v>2.9640528807588884E-2</v>
      </c>
      <c r="E17" s="23">
        <f>spot</f>
        <v>100</v>
      </c>
      <c r="G17" s="19">
        <f ca="1">BSMthetaput(H17,strike,vol,rate,q,time)</f>
        <v>-2.1293877939024163E-2</v>
      </c>
      <c r="H17" s="23">
        <f>spot</f>
        <v>100</v>
      </c>
      <c r="J17" s="19">
        <f ca="1">BSMvega(K17,strike,vol,rate,q,time)</f>
        <v>0.21113801342392086</v>
      </c>
      <c r="K17" s="23">
        <f>spot</f>
        <v>100</v>
      </c>
      <c r="M17" s="19">
        <f ca="1">BSMrhoput(N17,strike,vol,rate,q,time)</f>
        <v>-0.14155395404683238</v>
      </c>
      <c r="N17" s="23">
        <f>spot</f>
        <v>100</v>
      </c>
    </row>
    <row r="18" spans="1:14" ht="15.75" x14ac:dyDescent="0.5">
      <c r="A18" s="19">
        <f ca="1">BSMdeltaput(B18,strike,vol,rate,q,time)</f>
        <v>-0.30980899372769677</v>
      </c>
      <c r="B18" s="12">
        <f>B17+PRICER!$C$17</f>
        <v>105</v>
      </c>
      <c r="D18" s="19">
        <f ca="1">BSMgamma(E18,strike,vol,rate,q,time)</f>
        <v>2.5171227064172616E-2</v>
      </c>
      <c r="E18" s="12">
        <f>E17+PRICER!$C$17</f>
        <v>105</v>
      </c>
      <c r="G18" s="19">
        <f ca="1">BSMthetaput(H18,strike,vol,rate,q,time)</f>
        <v>-2.0839600842331111E-2</v>
      </c>
      <c r="H18" s="12">
        <f>H17+PRICER!$C$17</f>
        <v>105</v>
      </c>
      <c r="J18" s="19">
        <f ca="1">BSMvega(K18,strike,vol,rate,q,time)</f>
        <v>0.1976803352861666</v>
      </c>
      <c r="K18" s="12">
        <f>K17+PRICER!$C$17</f>
        <v>105</v>
      </c>
      <c r="M18" s="19">
        <f ca="1">BSMrhoput(N18,strike,vol,rate,q,time)</f>
        <v>-0.10122856782488227</v>
      </c>
      <c r="N18" s="12">
        <f>N17+PRICER!$C$17</f>
        <v>105</v>
      </c>
    </row>
    <row r="19" spans="1:14" ht="15.75" x14ac:dyDescent="0.5">
      <c r="A19" s="19">
        <f ca="1">BSMdeltaput(B19,strike,vol,rate,q,time)</f>
        <v>-0.19905720186148768</v>
      </c>
      <c r="B19" s="12">
        <f>B18+PRICER!$C$17</f>
        <v>110</v>
      </c>
      <c r="D19" s="19">
        <f ca="1">BSMgamma(E19,strike,vol,rate,q,time)</f>
        <v>1.9017828156070476E-2</v>
      </c>
      <c r="E19" s="12">
        <f>E18+PRICER!$C$17</f>
        <v>110</v>
      </c>
      <c r="G19" s="19">
        <f ca="1">BSMthetaput(H19,strike,vol,rate,q,time)</f>
        <v>-1.7759134917859715E-2</v>
      </c>
      <c r="H19" s="12">
        <f>H18+PRICER!$C$17</f>
        <v>110</v>
      </c>
      <c r="J19" s="19">
        <f ca="1">BSMvega(K19,strike,vol,rate,q,time)</f>
        <v>0.16391804761369241</v>
      </c>
      <c r="K19" s="12">
        <f>K18+PRICER!$C$17</f>
        <v>110</v>
      </c>
      <c r="M19" s="19">
        <f ca="1">BSMrhoput(N19,strike,vol,rate,q,time)</f>
        <v>-6.7341854571248166E-2</v>
      </c>
      <c r="N19" s="12">
        <f>N18+PRICER!$C$17</f>
        <v>110</v>
      </c>
    </row>
    <row r="20" spans="1:14" ht="15.75" x14ac:dyDescent="0.5">
      <c r="A20" s="19">
        <f ca="1">BSMdeltaput(B20,strike,vol,rate,q,time)</f>
        <v>-0.11937901565730136</v>
      </c>
      <c r="B20" s="12">
        <f>B19+PRICER!$C$17</f>
        <v>115</v>
      </c>
      <c r="D20" s="19">
        <f ca="1">BSMgamma(E20,strike,vol,rate,q,time)</f>
        <v>1.2987355250689765E-2</v>
      </c>
      <c r="E20" s="12">
        <f>E19+PRICER!$C$17</f>
        <v>115</v>
      </c>
      <c r="G20" s="19">
        <f ca="1">BSMthetaput(H20,strike,vol,rate,q,time)</f>
        <v>-1.3498450076733825E-2</v>
      </c>
      <c r="H20" s="12">
        <f>H19+PRICER!$C$17</f>
        <v>115</v>
      </c>
      <c r="J20" s="19">
        <f ca="1">BSMvega(K20,strike,vol,rate,q,time)</f>
        <v>0.12234800282053908</v>
      </c>
      <c r="K20" s="12">
        <f>K19+PRICER!$C$17</f>
        <v>115</v>
      </c>
      <c r="M20" s="19">
        <f ca="1">BSMrhoput(N20,strike,vol,rate,q,time)</f>
        <v>-4.1837075758806741E-2</v>
      </c>
      <c r="N20" s="12">
        <f>N19+PRICER!$C$17</f>
        <v>115</v>
      </c>
    </row>
    <row r="21" spans="1:14" ht="15.75" x14ac:dyDescent="0.5">
      <c r="A21" s="19">
        <f ca="1">BSMdeltaput(B21,strike,vol,rate,q,time)</f>
        <v>-6.7193904868532717E-2</v>
      </c>
      <c r="B21" s="12">
        <f>B20+PRICER!$C$17</f>
        <v>120</v>
      </c>
      <c r="D21" s="19">
        <f ca="1">BSMgamma(E21,strike,vol,rate,q,time)</f>
        <v>8.1241145618548925E-3</v>
      </c>
      <c r="E21" s="12">
        <f>E20+PRICER!$C$17</f>
        <v>120</v>
      </c>
      <c r="G21" s="19">
        <f ca="1">BSMthetaput(H21,strike,vol,rate,q,time)</f>
        <v>-9.3123389816257267E-3</v>
      </c>
      <c r="H21" s="12">
        <f>H20+PRICER!$C$17</f>
        <v>120</v>
      </c>
      <c r="J21" s="19">
        <f ca="1">BSMvega(K21,strike,vol,rate,q,time)</f>
        <v>8.3333383341328018E-2</v>
      </c>
      <c r="K21" s="12">
        <f>K20+PRICER!$C$17</f>
        <v>120</v>
      </c>
      <c r="M21" s="19">
        <f ca="1">BSMrhoput(N21,strike,vol,rate,q,time)</f>
        <v>-2.4394679225841539E-2</v>
      </c>
      <c r="N21" s="12">
        <f>N20+PRICER!$C$17</f>
        <v>120</v>
      </c>
    </row>
    <row r="22" spans="1:14" ht="15.75" x14ac:dyDescent="0.5">
      <c r="A22" s="19">
        <f ca="1">BSMdeltaput(B22,strike,vol,rate,q,time)</f>
        <v>-3.5700067244519129E-2</v>
      </c>
      <c r="B22" s="12">
        <f>B21+PRICER!$C$17</f>
        <v>125</v>
      </c>
      <c r="D22" s="19">
        <f ca="1">BSMgamma(E22,strike,vol,rate,q,time)</f>
        <v>4.7080929381615655E-3</v>
      </c>
      <c r="E22" s="12">
        <f>E21+PRICER!$C$17</f>
        <v>125</v>
      </c>
      <c r="G22" s="19">
        <f ca="1">BSMthetaput(H22,strike,vol,rate,q,time)</f>
        <v>-5.9111020896065597E-3</v>
      </c>
      <c r="H22" s="12">
        <f>H21+PRICER!$C$17</f>
        <v>125</v>
      </c>
      <c r="J22" s="19">
        <f ca="1">BSMvega(K22,strike,vol,rate,q,time)</f>
        <v>5.240171934597633E-2</v>
      </c>
      <c r="K22" s="12">
        <f>K21+PRICER!$C$17</f>
        <v>125</v>
      </c>
      <c r="M22" s="19">
        <f ca="1">BSMrhoput(N22,strike,vol,rate,q,time)</f>
        <v>-1.3422291501873941E-2</v>
      </c>
      <c r="N22" s="12">
        <f>N21+PRICER!$C$17</f>
        <v>125</v>
      </c>
    </row>
    <row r="23" spans="1:14" ht="15.75" x14ac:dyDescent="0.5">
      <c r="A23" s="19">
        <f ca="1">BSMdeltaput(B23,strike,vol,rate,q,time)</f>
        <v>-1.8004404969663046E-2</v>
      </c>
      <c r="B23" s="12">
        <f>B22+PRICER!$C$17</f>
        <v>130</v>
      </c>
      <c r="D23" s="19">
        <f ca="1">BSMgamma(E23,strike,vol,rate,q,time)</f>
        <v>2.5522777442843676E-3</v>
      </c>
      <c r="E23" s="12">
        <f>E22+PRICER!$C$17</f>
        <v>130</v>
      </c>
      <c r="G23" s="19">
        <f ca="1">BSMthetaput(H23,strike,vol,rate,q,time)</f>
        <v>-3.4908273907831456E-3</v>
      </c>
      <c r="H23" s="12">
        <f>H22+PRICER!$C$17</f>
        <v>130</v>
      </c>
      <c r="J23" s="19">
        <f ca="1">BSMvega(K23,strike,vol,rate,q,time)</f>
        <v>3.0725228516124688E-2</v>
      </c>
      <c r="K23" s="12">
        <f>K22+PRICER!$C$17</f>
        <v>130</v>
      </c>
      <c r="M23" s="19">
        <f ca="1">BSMrhoput(N23,strike,vol,rate,q,time)</f>
        <v>-7.0064359367038326E-3</v>
      </c>
      <c r="N23" s="12">
        <f>N22+PRICER!$C$17</f>
        <v>130</v>
      </c>
    </row>
    <row r="24" spans="1:14" ht="15.75" x14ac:dyDescent="0.5">
      <c r="A24" s="19">
        <f ca="1">BSMdeltaput(B24,strike,vol,rate,q,time)</f>
        <v>-8.6648178650491348E-3</v>
      </c>
      <c r="B24" s="12">
        <f>B23+PRICER!$C$17</f>
        <v>135</v>
      </c>
      <c r="D24" s="19">
        <f ca="1">BSMgamma(E24,strike,vol,rate,q,time)</f>
        <v>1.3050615228978671E-3</v>
      </c>
      <c r="E24" s="12">
        <f>E23+PRICER!$C$17</f>
        <v>135</v>
      </c>
      <c r="G24" s="19">
        <f ca="1">BSMthetaput(H24,strike,vol,rate,q,time)</f>
        <v>-1.9357558772995014E-3</v>
      </c>
      <c r="H24" s="12">
        <f>H23+PRICER!$C$17</f>
        <v>135</v>
      </c>
      <c r="J24" s="19">
        <f ca="1">BSMvega(K24,strike,vol,rate,q,time)</f>
        <v>1.6942558976031627E-2</v>
      </c>
      <c r="K24" s="12">
        <f>K23+PRICER!$C$17</f>
        <v>135</v>
      </c>
      <c r="M24" s="19">
        <f ca="1">BSMrhoput(N24,strike,vol,rate,q,time)</f>
        <v>-3.4877919870823912E-3</v>
      </c>
      <c r="N24" s="12">
        <f>N23+PRICER!$C$17</f>
        <v>135</v>
      </c>
    </row>
    <row r="25" spans="1:14" ht="15.75" x14ac:dyDescent="0.5">
      <c r="A25" s="19">
        <f ca="1">BSMdeltaput(B25,strike,vol,rate,q,time)</f>
        <v>-3.9989023641699983E-3</v>
      </c>
      <c r="B25" s="12">
        <f>B24+PRICER!$C$17</f>
        <v>140</v>
      </c>
      <c r="D25" s="19">
        <f ca="1">BSMgamma(E25,strike,vol,rate,q,time)</f>
        <v>6.3396535474564834E-4</v>
      </c>
      <c r="E25" s="12">
        <f>E24+PRICER!$C$17</f>
        <v>140</v>
      </c>
      <c r="G25" s="19">
        <f ca="1">BSMthetaput(H25,strike,vol,rate,q,time)</f>
        <v>-1.0158536074876983E-3</v>
      </c>
      <c r="H25" s="12">
        <f>H24+PRICER!$C$17</f>
        <v>140</v>
      </c>
      <c r="J25" s="19">
        <f ca="1">BSMvega(K25,strike,vol,rate,q,time)</f>
        <v>8.8511984870789703E-3</v>
      </c>
      <c r="K25" s="12">
        <f>K24+PRICER!$C$17</f>
        <v>140</v>
      </c>
      <c r="M25" s="19">
        <f ca="1">BSMrhoput(N25,strike,vol,rate,q,time)</f>
        <v>-1.6637353032555005E-3</v>
      </c>
      <c r="N25" s="12">
        <f>N24+PRICER!$C$17</f>
        <v>140</v>
      </c>
    </row>
    <row r="26" spans="1:14" ht="15.75" x14ac:dyDescent="0.5">
      <c r="A26" s="19">
        <f ca="1">BSMdeltaput(B26,strike,vol,rate,q,time)</f>
        <v>-1.777745751454729E-3</v>
      </c>
      <c r="B26" s="12">
        <f>B25+PRICER!$C$17</f>
        <v>145</v>
      </c>
      <c r="D26" s="19">
        <f ca="1">BSMgamma(E26,strike,vol,rate,q,time)</f>
        <v>2.943933439320939E-4</v>
      </c>
      <c r="E26" s="12">
        <f>E25+PRICER!$C$17</f>
        <v>145</v>
      </c>
      <c r="G26" s="19">
        <f ca="1">BSMthetaput(H26,strike,vol,rate,q,time)</f>
        <v>-5.0789806427430214E-4</v>
      </c>
      <c r="H26" s="12">
        <f>H25+PRICER!$C$17</f>
        <v>145</v>
      </c>
      <c r="J26" s="19">
        <f ca="1">BSMvega(K26,strike,vol,rate,q,time)</f>
        <v>4.4090444235747716E-3</v>
      </c>
      <c r="K26" s="12">
        <f>K25+PRICER!$C$17</f>
        <v>145</v>
      </c>
      <c r="M26" s="19">
        <f ca="1">BSMrhoput(N26,strike,vol,rate,q,time)</f>
        <v>-7.6388553671907387E-4</v>
      </c>
      <c r="N26" s="12">
        <f>N25+PRICER!$C$17</f>
        <v>145</v>
      </c>
    </row>
    <row r="27" spans="1:14" ht="15.75" x14ac:dyDescent="0.5">
      <c r="A27" s="19">
        <f ca="1">BSMdeltaput(B27,strike,vol,rate,q,time)</f>
        <v>-7.6438381025645263E-4</v>
      </c>
      <c r="B27" s="12">
        <f>B26+PRICER!$C$17</f>
        <v>150</v>
      </c>
      <c r="D27" s="19">
        <f ca="1">BSMgamma(E27,strike,vol,rate,q,time)</f>
        <v>1.3139078747524999E-4</v>
      </c>
      <c r="E27" s="12">
        <f>E26+PRICER!$C$17</f>
        <v>150</v>
      </c>
      <c r="G27" s="19">
        <f ca="1">BSMthetaput(H27,strike,vol,rate,q,time)</f>
        <v>-2.4332970470957981E-4</v>
      </c>
      <c r="H27" s="12">
        <f>H26+PRICER!$C$17</f>
        <v>150</v>
      </c>
      <c r="J27" s="19">
        <f ca="1">BSMvega(K27,strike,vol,rate,q,time)</f>
        <v>2.1058523472060613E-3</v>
      </c>
      <c r="K27" s="12">
        <f>K26+PRICER!$C$17</f>
        <v>150</v>
      </c>
      <c r="M27" s="19">
        <f ca="1">BSMrhoput(N27,strike,vol,rate,q,time)</f>
        <v>-3.3895501675982204E-4</v>
      </c>
      <c r="N27" s="12">
        <f>N26+PRICER!$C$17</f>
        <v>150</v>
      </c>
    </row>
    <row r="28" spans="1:14" ht="15.75" x14ac:dyDescent="0.5">
      <c r="A28" s="19">
        <f ca="1">BSMdeltaput(B28,strike,vol,rate,q,time)</f>
        <v>-3.1905064947168604E-4</v>
      </c>
      <c r="B28" s="12">
        <f>B27+PRICER!$C$17</f>
        <v>155</v>
      </c>
      <c r="D28" s="19">
        <f ca="1">BSMgamma(E28,strike,vol,rate,q,time)</f>
        <v>5.6627343951562644E-5</v>
      </c>
      <c r="E28" s="12">
        <f>E27+PRICER!$C$17</f>
        <v>155</v>
      </c>
      <c r="G28" s="19">
        <f ca="1">BSMthetaput(H28,strike,vol,rate,q,time)</f>
        <v>-1.1227045391252455E-4</v>
      </c>
      <c r="H28" s="12">
        <f>H27+PRICER!$C$17</f>
        <v>155</v>
      </c>
      <c r="J28" s="19">
        <f ca="1">BSMvega(K28,strike,vol,rate,q,time)</f>
        <v>9.6910329861215347E-4</v>
      </c>
      <c r="K28" s="12">
        <f>K27+PRICER!$C$17</f>
        <v>155</v>
      </c>
      <c r="M28" s="19">
        <f ca="1">BSMrhoput(N28,strike,vol,rate,q,time)</f>
        <v>-1.4588800858312141E-4</v>
      </c>
      <c r="N28" s="12">
        <f>N27+PRICER!$C$17</f>
        <v>155</v>
      </c>
    </row>
    <row r="29" spans="1:14" ht="15.75" x14ac:dyDescent="0.5">
      <c r="A29" s="19">
        <f ca="1">BSMdeltaput(B29,strike,vol,rate,q,time)</f>
        <v>-1.2970238878884377E-4</v>
      </c>
      <c r="B29" s="12">
        <f>B28+PRICER!$C$17</f>
        <v>160</v>
      </c>
      <c r="D29" s="19">
        <f ca="1">BSMgamma(E29,strike,vol,rate,q,time)</f>
        <v>2.3665129655343338E-5</v>
      </c>
      <c r="E29" s="12">
        <f>E28+PRICER!$C$17</f>
        <v>160</v>
      </c>
      <c r="G29" s="19">
        <f ca="1">BSMthetaput(H29,strike,vol,rate,q,time)</f>
        <v>-5.0106039234101385E-5</v>
      </c>
      <c r="H29" s="12">
        <f>H28+PRICER!$C$17</f>
        <v>160</v>
      </c>
      <c r="J29" s="19">
        <f ca="1">BSMvega(K29,strike,vol,rate,q,time)</f>
        <v>4.3154822735880899E-4</v>
      </c>
      <c r="K29" s="12">
        <f>K28+PRICER!$C$17</f>
        <v>160</v>
      </c>
      <c r="M29" s="19">
        <f ca="1">BSMrhoput(N29,strike,vol,rate,q,time)</f>
        <v>-6.1108253879522845E-5</v>
      </c>
      <c r="N29" s="12">
        <f>N28+PRICER!$C$17</f>
        <v>160</v>
      </c>
    </row>
    <row r="30" spans="1:14" ht="15.75" x14ac:dyDescent="0.5">
      <c r="A30" s="19">
        <f ca="1">BSMdeltaput(B30,strike,vol,rate,q,time)</f>
        <v>-5.1506835654246963E-5</v>
      </c>
      <c r="B30" s="12">
        <f>B29+PRICER!$C$17</f>
        <v>165</v>
      </c>
      <c r="D30" s="19">
        <f ca="1">BSMgamma(E30,strike,vol,rate,q,time)</f>
        <v>9.6248423964958292E-6</v>
      </c>
      <c r="E30" s="12">
        <f>E29+PRICER!$C$17</f>
        <v>165</v>
      </c>
      <c r="G30" s="19">
        <f ca="1">BSMthetaput(H30,strike,vol,rate,q,time)</f>
        <v>-2.1713896733673892E-5</v>
      </c>
      <c r="H30" s="12">
        <f>H29+PRICER!$C$17</f>
        <v>165</v>
      </c>
      <c r="J30" s="19">
        <f ca="1">BSMvega(K30,strike,vol,rate,q,time)</f>
        <v>1.8665601891396086E-4</v>
      </c>
      <c r="K30" s="12">
        <f>K29+PRICER!$C$17</f>
        <v>165</v>
      </c>
      <c r="M30" s="19">
        <f ca="1">BSMrhoput(N30,strike,vol,rate,q,time)</f>
        <v>-2.498499204080877E-5</v>
      </c>
      <c r="N30" s="12">
        <f>N29+PRICER!$C$17</f>
        <v>165</v>
      </c>
    </row>
    <row r="31" spans="1:14" ht="15.75" x14ac:dyDescent="0.5">
      <c r="A31" s="19">
        <f ca="1">BSMdeltaput(B31,strike,vol,rate,q,time)</f>
        <v>-2.0033977422340143E-5</v>
      </c>
      <c r="B31" s="12">
        <f>B30+PRICER!$C$17</f>
        <v>170</v>
      </c>
      <c r="D31" s="19">
        <f ca="1">BSMgamma(E31,strike,vol,rate,q,time)</f>
        <v>3.8218610534821208E-6</v>
      </c>
      <c r="E31" s="12">
        <f>E30+PRICER!$C$17</f>
        <v>170</v>
      </c>
      <c r="G31" s="19">
        <f ca="1">BSMthetaput(H31,strike,vol,rate,q,time)</f>
        <v>-9.1680772282547404E-6</v>
      </c>
      <c r="H31" s="12">
        <f>H30+PRICER!$C$17</f>
        <v>170</v>
      </c>
      <c r="J31" s="19">
        <f ca="1">BSMvega(K31,strike,vol,rate,q,time)</f>
        <v>7.8677983440725088E-5</v>
      </c>
      <c r="K31" s="12">
        <f>K30+PRICER!$C$17</f>
        <v>170</v>
      </c>
      <c r="M31" s="19">
        <f ca="1">BSMrhoput(N31,strike,vol,rate,q,time)</f>
        <v>-9.9982537568568306E-6</v>
      </c>
      <c r="N31" s="12">
        <f>N30+PRICER!$C$17</f>
        <v>170</v>
      </c>
    </row>
    <row r="32" spans="1:14" ht="15.75" x14ac:dyDescent="0.5">
      <c r="A32" s="19">
        <f ca="1">BSMdeltaput(B32,strike,vol,rate,q,time)</f>
        <v>-7.650566957950744E-6</v>
      </c>
      <c r="B32" s="12">
        <f>B31+PRICER!$C$17</f>
        <v>175</v>
      </c>
      <c r="D32" s="19">
        <f ca="1">BSMgamma(E32,strike,vol,rate,q,time)</f>
        <v>1.4858892732593342E-6</v>
      </c>
      <c r="E32" s="12">
        <f>E31+PRICER!$C$17</f>
        <v>175</v>
      </c>
      <c r="G32" s="19">
        <f ca="1">BSMthetaput(H32,strike,vol,rate,q,time)</f>
        <v>-3.782774033557668E-6</v>
      </c>
      <c r="H32" s="12">
        <f>H31+PRICER!$C$17</f>
        <v>175</v>
      </c>
      <c r="J32" s="19">
        <f ca="1">BSMvega(K32,strike,vol,rate,q,time)</f>
        <v>3.2414776269390278E-5</v>
      </c>
      <c r="K32" s="12">
        <f>K31+PRICER!$C$17</f>
        <v>175</v>
      </c>
      <c r="M32" s="19">
        <f ca="1">BSMrhoput(N32,strike,vol,rate,q,time)</f>
        <v>-3.9254012924603088E-6</v>
      </c>
      <c r="N32" s="12">
        <f>N31+PRICER!$C$17</f>
        <v>175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35</vt:i4>
      </vt:variant>
    </vt:vector>
  </HeadingPairs>
  <TitlesOfParts>
    <vt:vector size="40" baseType="lpstr">
      <vt:lpstr>PRICER</vt:lpstr>
      <vt:lpstr>CALL_GRAPHS</vt:lpstr>
      <vt:lpstr>PUT_GRAPHS</vt:lpstr>
      <vt:lpstr>CALL_GREEK_GRAPHS</vt:lpstr>
      <vt:lpstr>PUT_GREEK_GRAPHS</vt:lpstr>
      <vt:lpstr>call_delta_graph</vt:lpstr>
      <vt:lpstr>call_gamma_graph</vt:lpstr>
      <vt:lpstr>call_graphs_range</vt:lpstr>
      <vt:lpstr>call_maturity_graph</vt:lpstr>
      <vt:lpstr>call_payoff_graph</vt:lpstr>
      <vt:lpstr>call_rate_graph</vt:lpstr>
      <vt:lpstr>call_rho_graph</vt:lpstr>
      <vt:lpstr>call_strike_graph</vt:lpstr>
      <vt:lpstr>call_theta_graph</vt:lpstr>
      <vt:lpstr>call_vega_graph</vt:lpstr>
      <vt:lpstr>call_vol_graph</vt:lpstr>
      <vt:lpstr>callprice</vt:lpstr>
      <vt:lpstr>Choice</vt:lpstr>
      <vt:lpstr>maturitydate</vt:lpstr>
      <vt:lpstr>month</vt:lpstr>
      <vt:lpstr>put_delta_graph</vt:lpstr>
      <vt:lpstr>put_gamma_graph</vt:lpstr>
      <vt:lpstr>put_graphs_range</vt:lpstr>
      <vt:lpstr>put_maturity_graph</vt:lpstr>
      <vt:lpstr>put_payoff_graph</vt:lpstr>
      <vt:lpstr>put_rate_graph</vt:lpstr>
      <vt:lpstr>put_rho_graph</vt:lpstr>
      <vt:lpstr>put_strike_graph</vt:lpstr>
      <vt:lpstr>put_theta_graph</vt:lpstr>
      <vt:lpstr>put_vega_graph</vt:lpstr>
      <vt:lpstr>put_vol_graph</vt:lpstr>
      <vt:lpstr>putprice</vt:lpstr>
      <vt:lpstr>q</vt:lpstr>
      <vt:lpstr>rate</vt:lpstr>
      <vt:lpstr>spot</vt:lpstr>
      <vt:lpstr>strike</vt:lpstr>
      <vt:lpstr>time</vt:lpstr>
      <vt:lpstr>vol</vt:lpstr>
      <vt:lpstr>year</vt:lpstr>
      <vt:lpstr>year_list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Fitzpatrick</dc:creator>
  <cp:lastModifiedBy>Max Fitzpatrick</cp:lastModifiedBy>
  <dcterms:created xsi:type="dcterms:W3CDTF">2018-03-01T15:01:58Z</dcterms:created>
  <dcterms:modified xsi:type="dcterms:W3CDTF">2018-03-04T21:23:21Z</dcterms:modified>
</cp:coreProperties>
</file>